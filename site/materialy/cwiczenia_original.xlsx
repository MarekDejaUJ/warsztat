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shpctac10020\Documents\"/>
    </mc:Choice>
  </mc:AlternateContent>
  <xr:revisionPtr revIDLastSave="45" documentId="8_{3CAEC306-73D3-4152-8118-44815548B3A4}" xr6:coauthVersionLast="47" xr6:coauthVersionMax="47" xr10:uidLastSave="{D3350A43-54FE-43CC-9B21-EBDE10883736}"/>
  <bookViews>
    <workbookView xWindow="-120" yWindow="-120" windowWidth="19440" windowHeight="10320" xr2:uid="{152B8708-2177-4D0C-9F43-14CD70783442}"/>
  </bookViews>
  <sheets>
    <sheet name="Arkusz1" sheetId="1" r:id="rId1"/>
    <sheet name="Słownik_Regionó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Q3" i="1" a="1"/>
  <c r="Q3" i="1"/>
  <c r="Q4" i="1" a="1"/>
  <c r="Q4" i="1"/>
  <c r="Q5" i="1" a="1"/>
  <c r="Q5" i="1"/>
  <c r="Q6" i="1" a="1"/>
  <c r="Q6" i="1"/>
  <c r="Q7" i="1" a="1"/>
  <c r="Q7" i="1"/>
  <c r="Q8" i="1" a="1"/>
  <c r="Q8" i="1"/>
  <c r="Q9" i="1" a="1"/>
  <c r="Q9" i="1"/>
  <c r="Q10" i="1" a="1"/>
  <c r="Q10" i="1"/>
  <c r="Q11" i="1" a="1"/>
  <c r="Q11" i="1"/>
  <c r="Q12" i="1" a="1"/>
  <c r="Q12" i="1"/>
  <c r="Q13" i="1" a="1"/>
  <c r="Q13" i="1"/>
  <c r="Q14" i="1" a="1"/>
  <c r="Q14" i="1"/>
  <c r="Q15" i="1" a="1"/>
  <c r="Q15" i="1"/>
  <c r="S2" i="1"/>
  <c r="Q2" i="1" a="1"/>
  <c r="Q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<sst xmlns="http://schemas.openxmlformats.org/spreadsheetml/2006/main" count="724" uniqueCount="235">
  <si>
    <t>OrderID</t>
  </si>
  <si>
    <t>Data_Zamowienia</t>
  </si>
  <si>
    <t>Email_Klienta</t>
  </si>
  <si>
    <t>Region_ID</t>
  </si>
  <si>
    <t>Kategoria_Produktu</t>
  </si>
  <si>
    <t>Wartosc_Sprzedazy</t>
  </si>
  <si>
    <t>Ocena_Transakcji</t>
  </si>
  <si>
    <t>Kwartal</t>
  </si>
  <si>
    <t>Domena_Email</t>
  </si>
  <si>
    <t>Status_Oceny</t>
  </si>
  <si>
    <t>Prowizja</t>
  </si>
  <si>
    <t>Ocena_Znormalizowana</t>
  </si>
  <si>
    <t>ORD-1001</t>
  </si>
  <si>
    <t>user.1@domena.pl</t>
  </si>
  <si>
    <t>R1</t>
  </si>
  <si>
    <t>AGD</t>
  </si>
  <si>
    <t>Q2</t>
  </si>
  <si>
    <t>domena.pl</t>
  </si>
  <si>
    <t>Niska</t>
  </si>
  <si>
    <t>ORD-1002</t>
  </si>
  <si>
    <t>user.2@domena.pl</t>
  </si>
  <si>
    <t>DOM I RTV</t>
  </si>
  <si>
    <t>ORD-1003</t>
  </si>
  <si>
    <t>user.3@domena.pl</t>
  </si>
  <si>
    <t>Q3</t>
  </si>
  <si>
    <t>Wysoka</t>
  </si>
  <si>
    <t>ORD-1004</t>
  </si>
  <si>
    <t>user.4@domena.pl</t>
  </si>
  <si>
    <t>ORD-1005</t>
  </si>
  <si>
    <t>user.5@domena.pl</t>
  </si>
  <si>
    <t xml:space="preserve">R1 </t>
  </si>
  <si>
    <t>ORD-1006</t>
  </si>
  <si>
    <t>user.6@domena.pl</t>
  </si>
  <si>
    <t>R3</t>
  </si>
  <si>
    <t>ORD-1007</t>
  </si>
  <si>
    <t>user.7@domena.pl</t>
  </si>
  <si>
    <t>ORD-1008</t>
  </si>
  <si>
    <t>user.8@domena.pl</t>
  </si>
  <si>
    <t>R2</t>
  </si>
  <si>
    <t>Q4</t>
  </si>
  <si>
    <t>ORD-1009</t>
  </si>
  <si>
    <t>user.9@domena.pl</t>
  </si>
  <si>
    <t>ORD-1010</t>
  </si>
  <si>
    <t>user.10@domena.pl</t>
  </si>
  <si>
    <t xml:space="preserve">R2 </t>
  </si>
  <si>
    <t>ORD-1011</t>
  </si>
  <si>
    <t>user.11@domena.pl</t>
  </si>
  <si>
    <t>ORD-1012</t>
  </si>
  <si>
    <t>user.12@domena.pl</t>
  </si>
  <si>
    <t>ORD-1013</t>
  </si>
  <si>
    <t>user.13@domena.pl</t>
  </si>
  <si>
    <t>ORD-1014</t>
  </si>
  <si>
    <t>user.14@domena.pl</t>
  </si>
  <si>
    <t>ORD-1015</t>
  </si>
  <si>
    <t>user.15@domena.pl</t>
  </si>
  <si>
    <t>ORD-1016</t>
  </si>
  <si>
    <t>user.16@domena.pl</t>
  </si>
  <si>
    <t>ORD-1017</t>
  </si>
  <si>
    <t>user.17@domena.pl</t>
  </si>
  <si>
    <t>Q1</t>
  </si>
  <si>
    <t>ORD-1018</t>
  </si>
  <si>
    <t>user.18@domena.pl</t>
  </si>
  <si>
    <t>ORD-1019</t>
  </si>
  <si>
    <t>user.19@domena.pl</t>
  </si>
  <si>
    <t>ORD-1020</t>
  </si>
  <si>
    <t>user.20@domena.pl</t>
  </si>
  <si>
    <t xml:space="preserve">R3 </t>
  </si>
  <si>
    <t>ORD-1021</t>
  </si>
  <si>
    <t>user.21@</t>
  </si>
  <si>
    <t>Brak_domeny</t>
  </si>
  <si>
    <t>ORD-1022</t>
  </si>
  <si>
    <t>user.22@ domena.pl</t>
  </si>
  <si>
    <t>ORD-1023</t>
  </si>
  <si>
    <t>user.23@domena.pl</t>
  </si>
  <si>
    <t>ORD-1024</t>
  </si>
  <si>
    <t>user.24@domena.pl</t>
  </si>
  <si>
    <t>ORD-1025</t>
  </si>
  <si>
    <t>user.25@domena.pl</t>
  </si>
  <si>
    <t>ORD-1026</t>
  </si>
  <si>
    <t>user.26@ domena.pl</t>
  </si>
  <si>
    <t>ORD-1027</t>
  </si>
  <si>
    <t>user.27@domena.pl</t>
  </si>
  <si>
    <t>ORD-1028</t>
  </si>
  <si>
    <t>user.28@ domena.pl</t>
  </si>
  <si>
    <t>ORD-1029</t>
  </si>
  <si>
    <t>user.29@domena.pl</t>
  </si>
  <si>
    <t>ORD-1030</t>
  </si>
  <si>
    <t>user.30@ domena.pl</t>
  </si>
  <si>
    <t>ORD-1031</t>
  </si>
  <si>
    <t>user.31@</t>
  </si>
  <si>
    <t>ORD-1032</t>
  </si>
  <si>
    <t>user.32@domena.pl</t>
  </si>
  <si>
    <t>ORD-1033</t>
  </si>
  <si>
    <t>user.33@domena.pl</t>
  </si>
  <si>
    <t>ORD-1034</t>
  </si>
  <si>
    <t>user.34_brak_malpy_</t>
  </si>
  <si>
    <t>ORD-1035</t>
  </si>
  <si>
    <t>user.35@domena.pl</t>
  </si>
  <si>
    <t>ORD-1036</t>
  </si>
  <si>
    <t>user.36@domena.pl</t>
  </si>
  <si>
    <t>ORD-1037</t>
  </si>
  <si>
    <t>user.37@domena.pl</t>
  </si>
  <si>
    <t>ORD-1038</t>
  </si>
  <si>
    <t>user.38@</t>
  </si>
  <si>
    <t>ORD-1039</t>
  </si>
  <si>
    <t>user.39@domena.pl</t>
  </si>
  <si>
    <t>ORD-1040</t>
  </si>
  <si>
    <t>user.40@domena.pl</t>
  </si>
  <si>
    <t>ORD-1041</t>
  </si>
  <si>
    <t>user.41@domena.pl</t>
  </si>
  <si>
    <t>ORD-1042</t>
  </si>
  <si>
    <t>user.42@domena.pl</t>
  </si>
  <si>
    <t>ORD-1043</t>
  </si>
  <si>
    <t>user.43@domena.pl</t>
  </si>
  <si>
    <t>ORD-1044</t>
  </si>
  <si>
    <t>user.44@domena.pl</t>
  </si>
  <si>
    <t>ORD-1045</t>
  </si>
  <si>
    <t>user.45@domena.pl</t>
  </si>
  <si>
    <t>ORD-1046</t>
  </si>
  <si>
    <t>user.46@domena.pl</t>
  </si>
  <si>
    <t>ORD-1047</t>
  </si>
  <si>
    <t>user.47@domena.pl</t>
  </si>
  <si>
    <t>ORD-1048</t>
  </si>
  <si>
    <t>user.48@domena.pl</t>
  </si>
  <si>
    <t>ORD-1049</t>
  </si>
  <si>
    <t>user.49@domena.pl</t>
  </si>
  <si>
    <t>ORD-1050</t>
  </si>
  <si>
    <t>user.50@domena.pl</t>
  </si>
  <si>
    <t>ORD-1051</t>
  </si>
  <si>
    <t>user.51@domena.pl</t>
  </si>
  <si>
    <t>ORD-1052</t>
  </si>
  <si>
    <t>user.52@domena.pl</t>
  </si>
  <si>
    <t>ORD-1053</t>
  </si>
  <si>
    <t>user.53@ domena.pl</t>
  </si>
  <si>
    <t>ORD-1054</t>
  </si>
  <si>
    <t>user.54@domena.pl</t>
  </si>
  <si>
    <t>ORD-1055</t>
  </si>
  <si>
    <t>user.55@domena.pl</t>
  </si>
  <si>
    <t>ORD-1056</t>
  </si>
  <si>
    <t>user.56@domena.pl</t>
  </si>
  <si>
    <t>ORD-1057</t>
  </si>
  <si>
    <t>user.57@ domena.pl</t>
  </si>
  <si>
    <t>ORD-1058</t>
  </si>
  <si>
    <t>user.58@domena.pl</t>
  </si>
  <si>
    <t>ORD-1059</t>
  </si>
  <si>
    <t>user.59@domena.pl</t>
  </si>
  <si>
    <t>ORD-1060</t>
  </si>
  <si>
    <t>user.60_brak_malpy_</t>
  </si>
  <si>
    <t>ORD-1061</t>
  </si>
  <si>
    <t>user.61@domena.pl</t>
  </si>
  <si>
    <t>ORD-1062</t>
  </si>
  <si>
    <t>user.62@domena.pl</t>
  </si>
  <si>
    <t>ORD-1063</t>
  </si>
  <si>
    <t>user.63@domena.pl</t>
  </si>
  <si>
    <t>ORD-1064</t>
  </si>
  <si>
    <t>user.64@domena.pl</t>
  </si>
  <si>
    <t>ORD-1065</t>
  </si>
  <si>
    <t>user.65@domena.pl</t>
  </si>
  <si>
    <t>ORD-1066</t>
  </si>
  <si>
    <t>user.66@domena.pl</t>
  </si>
  <si>
    <t>ORD-1067</t>
  </si>
  <si>
    <t>user.67@domena.pl</t>
  </si>
  <si>
    <t>ORD-1068</t>
  </si>
  <si>
    <t>user.68@domena.pl</t>
  </si>
  <si>
    <t>ORD-1069</t>
  </si>
  <si>
    <t>user.69@domena.pl</t>
  </si>
  <si>
    <t>ORD-1070</t>
  </si>
  <si>
    <t>user.70@domena.pl</t>
  </si>
  <si>
    <t>ORD-1071</t>
  </si>
  <si>
    <t>user.71@domena.pl</t>
  </si>
  <si>
    <t>ORD-1072</t>
  </si>
  <si>
    <t>user.72@domena.pl</t>
  </si>
  <si>
    <t>ORD-1073</t>
  </si>
  <si>
    <t>user.73@domena.pl</t>
  </si>
  <si>
    <t>ORD-1074</t>
  </si>
  <si>
    <t>user.74@domena.pl</t>
  </si>
  <si>
    <t>ORD-1075</t>
  </si>
  <si>
    <t>user.75@</t>
  </si>
  <si>
    <t>ORD-1076</t>
  </si>
  <si>
    <t>user.76@domena.pl</t>
  </si>
  <si>
    <t>ORD-1077</t>
  </si>
  <si>
    <t>user.77@domena.pl</t>
  </si>
  <si>
    <t>ORD-1078</t>
  </si>
  <si>
    <t>user.78@domena.pl</t>
  </si>
  <si>
    <t>ORD-1079</t>
  </si>
  <si>
    <t>user.79@ domena.pl</t>
  </si>
  <si>
    <t>ORD-1080</t>
  </si>
  <si>
    <t>user.80@domena.pl</t>
  </si>
  <si>
    <t>ORD-1081</t>
  </si>
  <si>
    <t>user.81@</t>
  </si>
  <si>
    <t>ORD-1082</t>
  </si>
  <si>
    <t>user.82@domena.pl</t>
  </si>
  <si>
    <t>ORD-1083</t>
  </si>
  <si>
    <t>user.83@domena.pl</t>
  </si>
  <si>
    <t>ORD-1084</t>
  </si>
  <si>
    <t>user.84@domena.pl</t>
  </si>
  <si>
    <t>ORD-1085</t>
  </si>
  <si>
    <t>user.85@domena.pl</t>
  </si>
  <si>
    <t>ORD-1086</t>
  </si>
  <si>
    <t>user.86@domena.pl</t>
  </si>
  <si>
    <t>ORD-1087</t>
  </si>
  <si>
    <t>user.87@domena.pl</t>
  </si>
  <si>
    <t>ORD-1088</t>
  </si>
  <si>
    <t>user.88_brak_malpy_</t>
  </si>
  <si>
    <t>ORD-1089</t>
  </si>
  <si>
    <t>user.89@domena.pl</t>
  </si>
  <si>
    <t>ORD-1090</t>
  </si>
  <si>
    <t>user.90@domena.pl</t>
  </si>
  <si>
    <t>ORD-1091</t>
  </si>
  <si>
    <t>user.91@domena.pl</t>
  </si>
  <si>
    <t>ORD-1092</t>
  </si>
  <si>
    <t>user.92@domena.pl</t>
  </si>
  <si>
    <t>ORD-1093</t>
  </si>
  <si>
    <t>user.93_brak_malpy_</t>
  </si>
  <si>
    <t>ORD-1094</t>
  </si>
  <si>
    <t>user.94@domena.pl</t>
  </si>
  <si>
    <t>ORD-1095</t>
  </si>
  <si>
    <t>user.95@domena.pl</t>
  </si>
  <si>
    <t>ORD-1096</t>
  </si>
  <si>
    <t>user.96@domena.pl</t>
  </si>
  <si>
    <t>ORD-1097</t>
  </si>
  <si>
    <t>user.97@domena.pl</t>
  </si>
  <si>
    <t>ORD-1098</t>
  </si>
  <si>
    <t>user.98@domena.pl</t>
  </si>
  <si>
    <t>ORD-1099</t>
  </si>
  <si>
    <t>user.99@domena.pl</t>
  </si>
  <si>
    <t>ORD-1100</t>
  </si>
  <si>
    <t>user.100@domena.pl</t>
  </si>
  <si>
    <t>Nazwa_Regionu</t>
  </si>
  <si>
    <t>Manager_Regionu</t>
  </si>
  <si>
    <t>Północ</t>
  </si>
  <si>
    <t>Jan Nowak</t>
  </si>
  <si>
    <t>Południe</t>
  </si>
  <si>
    <t>Zachód</t>
  </si>
  <si>
    <t>Piotr Wiśniewski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</si>
</sst>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;[Red]\-#,##0.00\ &quot;zł&quot;"/>
  </numFmts>
  <fonts count="3">
    <font>
      <sz val="11"/>
      <color theme="1"/>
      <name val="Aptos Narrow"/>
      <family val="2"/>
      <charset val="238"/>
      <scheme val="minor"/>
    </font>
    <font>
      <sz val="12"/>
      <color rgb="FF000000"/>
      <name val="Times New Roman"/>
      <charset val="1"/>
    </font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5397-5014-42C9-962E-70608D99D652}">
  <dimension ref="A1:S101"/>
  <sheetViews>
    <sheetView tabSelected="1" topLeftCell="A16" workbookViewId="0">
      <selection activeCell="S23" sqref="S16:S23"/>
    </sheetView>
  </sheetViews>
  <sheetFormatPr defaultRowHeight="14.25"/>
  <cols>
    <col min="1" max="1" width="10.140625" bestFit="1" customWidth="1"/>
    <col min="2" max="2" width="16.5703125" bestFit="1" customWidth="1"/>
    <col min="3" max="3" width="20" bestFit="1" customWidth="1"/>
    <col min="4" max="4" width="9.7109375" bestFit="1" customWidth="1"/>
    <col min="5" max="5" width="24.5703125" customWidth="1"/>
    <col min="6" max="6" width="18.140625" bestFit="1" customWidth="1"/>
    <col min="7" max="7" width="16.42578125" bestFit="1" customWidth="1"/>
    <col min="8" max="8" width="7.5703125" bestFit="1" customWidth="1"/>
    <col min="9" max="9" width="14.28515625" bestFit="1" customWidth="1"/>
    <col min="10" max="10" width="13" bestFit="1" customWidth="1"/>
    <col min="11" max="11" width="8.28515625" bestFit="1" customWidth="1"/>
    <col min="12" max="12" width="22.140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9">
      <c r="A2" t="s">
        <v>12</v>
      </c>
      <c r="B2" s="1">
        <v>45047</v>
      </c>
      <c r="C2" t="s">
        <v>13</v>
      </c>
      <c r="D2" t="s">
        <v>14</v>
      </c>
      <c r="E2" t="s">
        <v>15</v>
      </c>
      <c r="F2" s="2">
        <v>987</v>
      </c>
      <c r="G2">
        <v>2</v>
      </c>
      <c r="H2" t="s">
        <v>16</v>
      </c>
      <c r="I2" t="s">
        <v>17</v>
      </c>
      <c r="J2" t="s">
        <v>18</v>
      </c>
      <c r="K2">
        <v>0</v>
      </c>
      <c r="L2">
        <v>0.25</v>
      </c>
      <c r="Q2" t="str" cm="1">
        <f t="array" ref="Q2">_xlfn.REGEXEXTRACT(C2, "^([^@]+)")</f>
        <v>user.1</v>
      </c>
      <c r="S2" t="b">
        <f>_xlfn.REGEXTEST(C2, "^\S+@\S+\.\S+$")</f>
        <v>1</v>
      </c>
    </row>
    <row r="3" spans="1:19">
      <c r="A3" t="s">
        <v>19</v>
      </c>
      <c r="B3" s="1">
        <v>45047</v>
      </c>
      <c r="C3" t="s">
        <v>20</v>
      </c>
      <c r="D3" t="s">
        <v>14</v>
      </c>
      <c r="E3" t="s">
        <v>21</v>
      </c>
      <c r="F3" s="2">
        <v>304</v>
      </c>
      <c r="G3">
        <v>1</v>
      </c>
      <c r="H3" t="s">
        <v>16</v>
      </c>
      <c r="I3" t="s">
        <v>17</v>
      </c>
      <c r="J3" t="s">
        <v>18</v>
      </c>
      <c r="K3">
        <v>0</v>
      </c>
      <c r="L3">
        <v>0</v>
      </c>
      <c r="Q3" t="str" cm="1">
        <f t="array" ref="Q3">_xlfn.REGEXEXTRACT(C3, "^([^@]+)")</f>
        <v>user.2</v>
      </c>
      <c r="S3" t="b">
        <f t="shared" ref="S3:S23" si="0">_xlfn.REGEXTEST(C3, "^\S+@\S+\.\S+$")</f>
        <v>1</v>
      </c>
    </row>
    <row r="4" spans="1:19">
      <c r="A4" t="s">
        <v>22</v>
      </c>
      <c r="B4" s="1">
        <v>45182</v>
      </c>
      <c r="C4" t="s">
        <v>23</v>
      </c>
      <c r="D4" t="s">
        <v>14</v>
      </c>
      <c r="E4" t="s">
        <v>21</v>
      </c>
      <c r="F4" s="2">
        <v>998</v>
      </c>
      <c r="G4">
        <v>4</v>
      </c>
      <c r="H4" t="s">
        <v>24</v>
      </c>
      <c r="I4" t="s">
        <v>17</v>
      </c>
      <c r="J4" t="s">
        <v>25</v>
      </c>
      <c r="K4">
        <v>49.9</v>
      </c>
      <c r="L4">
        <v>0.75</v>
      </c>
      <c r="Q4" t="str" cm="1">
        <f t="array" ref="Q4">_xlfn.REGEXEXTRACT(C4, "^([^@]+)")</f>
        <v>user.3</v>
      </c>
      <c r="S4" t="b">
        <f t="shared" si="0"/>
        <v>1</v>
      </c>
    </row>
    <row r="5" spans="1:19">
      <c r="A5" t="s">
        <v>26</v>
      </c>
      <c r="B5" s="1">
        <v>45047</v>
      </c>
      <c r="C5" t="s">
        <v>27</v>
      </c>
      <c r="D5" t="s">
        <v>14</v>
      </c>
      <c r="E5" t="s">
        <v>21</v>
      </c>
      <c r="F5" s="2">
        <v>431</v>
      </c>
      <c r="G5">
        <v>3</v>
      </c>
      <c r="H5" t="s">
        <v>16</v>
      </c>
      <c r="I5" t="s">
        <v>17</v>
      </c>
      <c r="J5" t="s">
        <v>18</v>
      </c>
      <c r="K5">
        <v>0</v>
      </c>
      <c r="L5">
        <v>0.5</v>
      </c>
      <c r="Q5" t="str" cm="1">
        <f t="array" ref="Q5">_xlfn.REGEXEXTRACT(C5, "^([^@]+)")</f>
        <v>user.4</v>
      </c>
      <c r="S5" t="b">
        <f t="shared" si="0"/>
        <v>1</v>
      </c>
    </row>
    <row r="6" spans="1:19">
      <c r="A6" t="s">
        <v>28</v>
      </c>
      <c r="B6" s="1">
        <v>45118</v>
      </c>
      <c r="C6" t="s">
        <v>29</v>
      </c>
      <c r="D6" t="s">
        <v>30</v>
      </c>
      <c r="E6" t="s">
        <v>21</v>
      </c>
      <c r="F6" s="2">
        <v>164</v>
      </c>
      <c r="G6">
        <v>5</v>
      </c>
      <c r="H6" t="s">
        <v>24</v>
      </c>
      <c r="I6" t="s">
        <v>17</v>
      </c>
      <c r="J6" t="s">
        <v>25</v>
      </c>
      <c r="K6">
        <v>0</v>
      </c>
      <c r="L6">
        <v>1</v>
      </c>
      <c r="Q6" t="str" cm="1">
        <f t="array" ref="Q6">_xlfn.REGEXEXTRACT(C6, "^([^@]+)")</f>
        <v>user.5</v>
      </c>
      <c r="S6" t="b">
        <f t="shared" si="0"/>
        <v>1</v>
      </c>
    </row>
    <row r="7" spans="1:19">
      <c r="A7" t="s">
        <v>31</v>
      </c>
      <c r="B7" s="1">
        <v>45128</v>
      </c>
      <c r="C7" t="s">
        <v>32</v>
      </c>
      <c r="D7" t="s">
        <v>33</v>
      </c>
      <c r="E7" t="s">
        <v>21</v>
      </c>
      <c r="F7" s="2">
        <v>382</v>
      </c>
      <c r="G7">
        <v>4</v>
      </c>
      <c r="H7" t="s">
        <v>24</v>
      </c>
      <c r="I7" t="s">
        <v>17</v>
      </c>
      <c r="J7" t="s">
        <v>25</v>
      </c>
      <c r="K7">
        <v>0</v>
      </c>
      <c r="L7">
        <v>0.75</v>
      </c>
      <c r="Q7" t="str" cm="1">
        <f t="array" ref="Q7">_xlfn.REGEXEXTRACT(C7, "^([^@]+)")</f>
        <v>user.6</v>
      </c>
      <c r="S7" t="b">
        <f t="shared" si="0"/>
        <v>1</v>
      </c>
    </row>
    <row r="8" spans="1:19">
      <c r="A8" t="s">
        <v>34</v>
      </c>
      <c r="B8" s="1">
        <v>45047</v>
      </c>
      <c r="C8" t="s">
        <v>35</v>
      </c>
      <c r="D8" t="s">
        <v>30</v>
      </c>
      <c r="E8" t="s">
        <v>21</v>
      </c>
      <c r="F8" s="2">
        <v>748</v>
      </c>
      <c r="G8">
        <v>4</v>
      </c>
      <c r="H8" t="s">
        <v>16</v>
      </c>
      <c r="I8" t="s">
        <v>17</v>
      </c>
      <c r="J8" t="s">
        <v>25</v>
      </c>
      <c r="K8">
        <v>37.4</v>
      </c>
      <c r="L8">
        <v>0.75</v>
      </c>
      <c r="Q8" t="str" cm="1">
        <f t="array" ref="Q8">_xlfn.REGEXEXTRACT(C8, "^([^@]+)")</f>
        <v>user.7</v>
      </c>
      <c r="S8" t="b">
        <f t="shared" si="0"/>
        <v>1</v>
      </c>
    </row>
    <row r="9" spans="1:19">
      <c r="A9" t="s">
        <v>36</v>
      </c>
      <c r="B9" s="1">
        <v>45288</v>
      </c>
      <c r="C9" t="s">
        <v>37</v>
      </c>
      <c r="D9" t="s">
        <v>38</v>
      </c>
      <c r="E9" t="s">
        <v>15</v>
      </c>
      <c r="F9" s="2">
        <v>967</v>
      </c>
      <c r="G9">
        <v>4</v>
      </c>
      <c r="H9" t="s">
        <v>39</v>
      </c>
      <c r="I9" t="s">
        <v>17</v>
      </c>
      <c r="J9" t="s">
        <v>25</v>
      </c>
      <c r="K9">
        <v>48.35</v>
      </c>
      <c r="L9">
        <v>0.75</v>
      </c>
      <c r="Q9" t="str" cm="1">
        <f t="array" ref="Q9">_xlfn.REGEXEXTRACT(C9, "^([^@]+)")</f>
        <v>user.8</v>
      </c>
      <c r="S9" t="b">
        <f t="shared" si="0"/>
        <v>1</v>
      </c>
    </row>
    <row r="10" spans="1:19">
      <c r="A10" t="s">
        <v>40</v>
      </c>
      <c r="B10" s="1">
        <v>45047</v>
      </c>
      <c r="C10" t="s">
        <v>41</v>
      </c>
      <c r="D10" t="s">
        <v>38</v>
      </c>
      <c r="E10" t="s">
        <v>21</v>
      </c>
      <c r="F10" s="2">
        <v>671</v>
      </c>
      <c r="G10">
        <v>4</v>
      </c>
      <c r="H10" t="s">
        <v>16</v>
      </c>
      <c r="I10" t="s">
        <v>17</v>
      </c>
      <c r="J10" t="s">
        <v>25</v>
      </c>
      <c r="K10">
        <v>33.549999999999997</v>
      </c>
      <c r="L10">
        <v>0.75</v>
      </c>
      <c r="Q10" t="str" cm="1">
        <f t="array" ref="Q10">_xlfn.REGEXEXTRACT(C10, "^([^@]+)")</f>
        <v>user.9</v>
      </c>
      <c r="S10" t="b">
        <f t="shared" si="0"/>
        <v>1</v>
      </c>
    </row>
    <row r="11" spans="1:19">
      <c r="A11" t="s">
        <v>42</v>
      </c>
      <c r="B11" s="1">
        <v>45227</v>
      </c>
      <c r="C11" t="s">
        <v>43</v>
      </c>
      <c r="D11" t="s">
        <v>44</v>
      </c>
      <c r="E11" t="s">
        <v>15</v>
      </c>
      <c r="F11" s="2">
        <v>723</v>
      </c>
      <c r="G11">
        <v>4</v>
      </c>
      <c r="H11" t="s">
        <v>39</v>
      </c>
      <c r="I11" t="s">
        <v>17</v>
      </c>
      <c r="J11" t="s">
        <v>25</v>
      </c>
      <c r="K11">
        <v>36.15</v>
      </c>
      <c r="L11">
        <v>0.75</v>
      </c>
      <c r="Q11" t="str" cm="1">
        <f t="array" ref="Q11">_xlfn.REGEXEXTRACT(C11, "^([^@]+)")</f>
        <v>user.10</v>
      </c>
      <c r="S11" t="b">
        <f t="shared" si="0"/>
        <v>1</v>
      </c>
    </row>
    <row r="12" spans="1:19">
      <c r="A12" t="s">
        <v>45</v>
      </c>
      <c r="B12" s="1">
        <v>45047</v>
      </c>
      <c r="C12" t="s">
        <v>46</v>
      </c>
      <c r="D12" t="s">
        <v>33</v>
      </c>
      <c r="E12" t="s">
        <v>21</v>
      </c>
      <c r="F12" s="2">
        <v>146</v>
      </c>
      <c r="G12">
        <v>5</v>
      </c>
      <c r="H12" t="s">
        <v>16</v>
      </c>
      <c r="I12" t="s">
        <v>17</v>
      </c>
      <c r="J12" t="s">
        <v>25</v>
      </c>
      <c r="K12">
        <v>0</v>
      </c>
      <c r="L12">
        <v>1</v>
      </c>
      <c r="Q12" t="str" cm="1">
        <f t="array" ref="Q12">_xlfn.REGEXEXTRACT(C12, "^([^@]+)")</f>
        <v>user.11</v>
      </c>
      <c r="S12" t="b">
        <f t="shared" si="0"/>
        <v>1</v>
      </c>
    </row>
    <row r="13" spans="1:19">
      <c r="A13" t="s">
        <v>47</v>
      </c>
      <c r="B13" s="1">
        <v>45042</v>
      </c>
      <c r="C13" t="s">
        <v>48</v>
      </c>
      <c r="D13" t="s">
        <v>33</v>
      </c>
      <c r="E13" t="s">
        <v>15</v>
      </c>
      <c r="F13" s="2">
        <v>637</v>
      </c>
      <c r="G13">
        <v>4</v>
      </c>
      <c r="H13" t="s">
        <v>16</v>
      </c>
      <c r="I13" t="s">
        <v>17</v>
      </c>
      <c r="J13" t="s">
        <v>25</v>
      </c>
      <c r="K13">
        <v>31.85</v>
      </c>
      <c r="L13">
        <v>0.75</v>
      </c>
      <c r="Q13" t="str" cm="1">
        <f t="array" ref="Q13">_xlfn.REGEXEXTRACT(C13, "^([^@]+)")</f>
        <v>user.12</v>
      </c>
      <c r="S13" t="b">
        <f t="shared" si="0"/>
        <v>1</v>
      </c>
    </row>
    <row r="14" spans="1:19">
      <c r="A14" t="s">
        <v>49</v>
      </c>
      <c r="B14" s="1">
        <v>45210</v>
      </c>
      <c r="C14" t="s">
        <v>50</v>
      </c>
      <c r="D14" t="s">
        <v>44</v>
      </c>
      <c r="E14" t="s">
        <v>15</v>
      </c>
      <c r="F14" s="2">
        <v>670</v>
      </c>
      <c r="G14">
        <v>4</v>
      </c>
      <c r="H14" t="s">
        <v>39</v>
      </c>
      <c r="I14" t="s">
        <v>17</v>
      </c>
      <c r="J14" t="s">
        <v>25</v>
      </c>
      <c r="K14">
        <v>33.5</v>
      </c>
      <c r="L14">
        <v>0.75</v>
      </c>
      <c r="Q14" t="str" cm="1">
        <f t="array" ref="Q14">_xlfn.REGEXEXTRACT(C14, "^([^@]+)")</f>
        <v>user.13</v>
      </c>
      <c r="S14" t="b">
        <f t="shared" si="0"/>
        <v>1</v>
      </c>
    </row>
    <row r="15" spans="1:19">
      <c r="A15" t="s">
        <v>51</v>
      </c>
      <c r="B15" s="1">
        <v>45153</v>
      </c>
      <c r="C15" t="s">
        <v>52</v>
      </c>
      <c r="D15" t="s">
        <v>33</v>
      </c>
      <c r="E15" t="s">
        <v>21</v>
      </c>
      <c r="F15" s="2">
        <v>432</v>
      </c>
      <c r="G15">
        <v>4</v>
      </c>
      <c r="H15" t="s">
        <v>24</v>
      </c>
      <c r="I15" t="s">
        <v>17</v>
      </c>
      <c r="J15" t="s">
        <v>25</v>
      </c>
      <c r="K15">
        <v>0</v>
      </c>
      <c r="L15">
        <v>0.75</v>
      </c>
      <c r="Q15" t="str" cm="1">
        <f t="array" ref="Q15">_xlfn.REGEXEXTRACT(C15, "^([^@]+)")</f>
        <v>user.14</v>
      </c>
      <c r="S15" t="b">
        <f t="shared" si="0"/>
        <v>1</v>
      </c>
    </row>
    <row r="16" spans="1:19">
      <c r="A16" t="s">
        <v>53</v>
      </c>
      <c r="B16" s="1">
        <v>45019</v>
      </c>
      <c r="C16" t="s">
        <v>54</v>
      </c>
      <c r="D16" t="s">
        <v>14</v>
      </c>
      <c r="E16" t="s">
        <v>21</v>
      </c>
      <c r="F16" s="2">
        <v>667</v>
      </c>
      <c r="G16">
        <v>3</v>
      </c>
      <c r="H16" t="s">
        <v>16</v>
      </c>
      <c r="I16" t="s">
        <v>17</v>
      </c>
      <c r="J16" t="s">
        <v>18</v>
      </c>
      <c r="K16">
        <v>0</v>
      </c>
      <c r="L16">
        <v>0.5</v>
      </c>
    </row>
    <row r="17" spans="1:12">
      <c r="A17" t="s">
        <v>55</v>
      </c>
      <c r="B17" s="1">
        <v>45047</v>
      </c>
      <c r="C17" t="s">
        <v>56</v>
      </c>
      <c r="D17" t="s">
        <v>14</v>
      </c>
      <c r="E17" t="s">
        <v>21</v>
      </c>
      <c r="F17" s="2">
        <v>744</v>
      </c>
      <c r="G17">
        <v>4</v>
      </c>
      <c r="H17" t="s">
        <v>16</v>
      </c>
      <c r="I17" t="s">
        <v>17</v>
      </c>
      <c r="J17" t="s">
        <v>25</v>
      </c>
      <c r="K17">
        <v>37.200000000000003</v>
      </c>
      <c r="L17">
        <v>0.75</v>
      </c>
    </row>
    <row r="18" spans="1:12">
      <c r="A18" t="s">
        <v>57</v>
      </c>
      <c r="B18" s="1">
        <v>44963</v>
      </c>
      <c r="C18" t="s">
        <v>58</v>
      </c>
      <c r="D18" t="s">
        <v>14</v>
      </c>
      <c r="E18" t="s">
        <v>21</v>
      </c>
      <c r="F18" s="2">
        <v>352</v>
      </c>
      <c r="G18">
        <v>4</v>
      </c>
      <c r="H18" t="s">
        <v>59</v>
      </c>
      <c r="I18" t="s">
        <v>17</v>
      </c>
      <c r="J18" t="s">
        <v>25</v>
      </c>
      <c r="K18">
        <v>0</v>
      </c>
      <c r="L18">
        <v>0.75</v>
      </c>
    </row>
    <row r="19" spans="1:12">
      <c r="A19" t="s">
        <v>60</v>
      </c>
      <c r="B19" s="1">
        <v>44930</v>
      </c>
      <c r="C19" t="s">
        <v>61</v>
      </c>
      <c r="D19" t="s">
        <v>14</v>
      </c>
      <c r="E19" t="s">
        <v>21</v>
      </c>
      <c r="F19" s="2">
        <v>310</v>
      </c>
      <c r="G19">
        <v>1</v>
      </c>
      <c r="H19" t="s">
        <v>59</v>
      </c>
      <c r="I19" t="s">
        <v>17</v>
      </c>
      <c r="J19" t="s">
        <v>18</v>
      </c>
      <c r="K19">
        <v>0</v>
      </c>
      <c r="L19">
        <v>0</v>
      </c>
    </row>
    <row r="20" spans="1:12">
      <c r="A20" t="s">
        <v>62</v>
      </c>
      <c r="B20" s="1">
        <v>45047</v>
      </c>
      <c r="C20" t="s">
        <v>63</v>
      </c>
      <c r="D20" t="s">
        <v>33</v>
      </c>
      <c r="E20" t="s">
        <v>15</v>
      </c>
      <c r="F20" s="2">
        <v>270</v>
      </c>
      <c r="G20">
        <v>3</v>
      </c>
      <c r="H20" t="s">
        <v>16</v>
      </c>
      <c r="I20" t="s">
        <v>17</v>
      </c>
      <c r="J20" t="s">
        <v>18</v>
      </c>
      <c r="K20">
        <v>0</v>
      </c>
      <c r="L20">
        <v>0.5</v>
      </c>
    </row>
    <row r="21" spans="1:12">
      <c r="A21" t="s">
        <v>64</v>
      </c>
      <c r="B21" s="1">
        <v>45047</v>
      </c>
      <c r="C21" t="s">
        <v>65</v>
      </c>
      <c r="D21" t="s">
        <v>66</v>
      </c>
      <c r="E21" t="s">
        <v>15</v>
      </c>
      <c r="F21" s="2">
        <v>331</v>
      </c>
      <c r="G21">
        <v>4</v>
      </c>
      <c r="H21" t="s">
        <v>16</v>
      </c>
      <c r="I21" t="s">
        <v>17</v>
      </c>
      <c r="J21" t="s">
        <v>25</v>
      </c>
      <c r="K21">
        <v>0</v>
      </c>
      <c r="L21">
        <v>0.75</v>
      </c>
    </row>
    <row r="22" spans="1:12">
      <c r="A22" t="s">
        <v>67</v>
      </c>
      <c r="B22" s="1">
        <v>45254</v>
      </c>
      <c r="C22" t="s">
        <v>68</v>
      </c>
      <c r="D22" t="s">
        <v>66</v>
      </c>
      <c r="E22" t="s">
        <v>15</v>
      </c>
      <c r="F22" s="2">
        <v>634</v>
      </c>
      <c r="G22">
        <v>5</v>
      </c>
      <c r="H22" t="s">
        <v>39</v>
      </c>
      <c r="I22" t="s">
        <v>69</v>
      </c>
      <c r="J22" t="s">
        <v>25</v>
      </c>
      <c r="K22">
        <v>31.7</v>
      </c>
      <c r="L22">
        <v>1</v>
      </c>
    </row>
    <row r="23" spans="1:12">
      <c r="A23" t="s">
        <v>70</v>
      </c>
      <c r="B23" s="1">
        <v>45207</v>
      </c>
      <c r="C23" t="s">
        <v>71</v>
      </c>
      <c r="D23" t="s">
        <v>14</v>
      </c>
      <c r="E23" t="s">
        <v>21</v>
      </c>
      <c r="F23" s="2">
        <v>116</v>
      </c>
      <c r="G23">
        <v>4</v>
      </c>
      <c r="H23" t="s">
        <v>39</v>
      </c>
      <c r="I23" t="s">
        <v>17</v>
      </c>
      <c r="J23" t="s">
        <v>25</v>
      </c>
      <c r="K23">
        <v>0</v>
      </c>
      <c r="L23">
        <v>0.75</v>
      </c>
    </row>
    <row r="24" spans="1:12">
      <c r="A24" t="s">
        <v>72</v>
      </c>
      <c r="B24" s="1">
        <v>45286</v>
      </c>
      <c r="C24" t="s">
        <v>73</v>
      </c>
      <c r="D24" t="s">
        <v>66</v>
      </c>
      <c r="E24" t="s">
        <v>15</v>
      </c>
      <c r="F24" s="2">
        <v>717</v>
      </c>
      <c r="G24">
        <v>4</v>
      </c>
      <c r="H24" t="s">
        <v>39</v>
      </c>
      <c r="I24" t="s">
        <v>17</v>
      </c>
      <c r="J24" t="s">
        <v>25</v>
      </c>
      <c r="K24">
        <v>35.85</v>
      </c>
      <c r="L24">
        <v>0.75</v>
      </c>
    </row>
    <row r="25" spans="1:12">
      <c r="A25" t="s">
        <v>74</v>
      </c>
      <c r="B25" s="1">
        <v>45041</v>
      </c>
      <c r="C25" t="s">
        <v>75</v>
      </c>
      <c r="D25" t="s">
        <v>33</v>
      </c>
      <c r="E25" t="s">
        <v>21</v>
      </c>
      <c r="F25" s="2">
        <v>461</v>
      </c>
      <c r="G25">
        <v>5</v>
      </c>
      <c r="H25" t="s">
        <v>16</v>
      </c>
      <c r="I25" t="s">
        <v>17</v>
      </c>
      <c r="J25" t="s">
        <v>25</v>
      </c>
      <c r="K25">
        <v>0</v>
      </c>
      <c r="L25">
        <v>1</v>
      </c>
    </row>
    <row r="26" spans="1:12">
      <c r="A26" t="s">
        <v>76</v>
      </c>
      <c r="B26" s="1">
        <v>45047</v>
      </c>
      <c r="C26" t="s">
        <v>77</v>
      </c>
      <c r="D26" t="s">
        <v>38</v>
      </c>
      <c r="E26" t="s">
        <v>21</v>
      </c>
      <c r="F26" s="2">
        <v>949</v>
      </c>
      <c r="G26">
        <v>4</v>
      </c>
      <c r="H26" t="s">
        <v>16</v>
      </c>
      <c r="I26" t="s">
        <v>17</v>
      </c>
      <c r="J26" t="s">
        <v>25</v>
      </c>
      <c r="K26">
        <v>47.45</v>
      </c>
      <c r="L26">
        <v>0.75</v>
      </c>
    </row>
    <row r="27" spans="1:12">
      <c r="A27" t="s">
        <v>78</v>
      </c>
      <c r="B27" s="1">
        <v>44950</v>
      </c>
      <c r="C27" t="s">
        <v>79</v>
      </c>
      <c r="D27" t="s">
        <v>33</v>
      </c>
      <c r="E27" t="s">
        <v>21</v>
      </c>
      <c r="F27" s="2">
        <v>167</v>
      </c>
      <c r="G27">
        <v>1</v>
      </c>
      <c r="H27" t="s">
        <v>59</v>
      </c>
      <c r="I27" t="s">
        <v>17</v>
      </c>
      <c r="J27" t="s">
        <v>18</v>
      </c>
      <c r="K27">
        <v>0</v>
      </c>
      <c r="L27">
        <v>0</v>
      </c>
    </row>
    <row r="28" spans="1:12">
      <c r="A28" t="s">
        <v>80</v>
      </c>
      <c r="B28" s="1">
        <v>44959</v>
      </c>
      <c r="C28" t="s">
        <v>81</v>
      </c>
      <c r="D28" t="s">
        <v>30</v>
      </c>
      <c r="E28" t="s">
        <v>21</v>
      </c>
      <c r="F28" s="2">
        <v>322</v>
      </c>
      <c r="G28">
        <v>4</v>
      </c>
      <c r="H28" t="s">
        <v>59</v>
      </c>
      <c r="I28" t="s">
        <v>17</v>
      </c>
      <c r="J28" t="s">
        <v>25</v>
      </c>
      <c r="K28">
        <v>0</v>
      </c>
      <c r="L28">
        <v>0.75</v>
      </c>
    </row>
    <row r="29" spans="1:12">
      <c r="A29" t="s">
        <v>82</v>
      </c>
      <c r="B29" s="1">
        <v>45047</v>
      </c>
      <c r="C29" t="s">
        <v>83</v>
      </c>
      <c r="D29" t="s">
        <v>14</v>
      </c>
      <c r="E29" t="s">
        <v>21</v>
      </c>
      <c r="F29" s="2">
        <v>867</v>
      </c>
      <c r="G29">
        <v>1</v>
      </c>
      <c r="H29" t="s">
        <v>16</v>
      </c>
      <c r="I29" t="s">
        <v>17</v>
      </c>
      <c r="J29" t="s">
        <v>18</v>
      </c>
      <c r="K29">
        <v>0</v>
      </c>
      <c r="L29">
        <v>0</v>
      </c>
    </row>
    <row r="30" spans="1:12">
      <c r="A30" t="s">
        <v>84</v>
      </c>
      <c r="B30" s="1">
        <v>45277</v>
      </c>
      <c r="C30" t="s">
        <v>85</v>
      </c>
      <c r="D30" t="s">
        <v>33</v>
      </c>
      <c r="E30" t="s">
        <v>21</v>
      </c>
      <c r="F30" s="2">
        <v>186</v>
      </c>
      <c r="G30">
        <v>4</v>
      </c>
      <c r="H30" t="s">
        <v>39</v>
      </c>
      <c r="I30" t="s">
        <v>17</v>
      </c>
      <c r="J30" t="s">
        <v>25</v>
      </c>
      <c r="K30">
        <v>0</v>
      </c>
      <c r="L30">
        <v>0.75</v>
      </c>
    </row>
    <row r="31" spans="1:12">
      <c r="A31" t="s">
        <v>86</v>
      </c>
      <c r="B31" s="1">
        <v>45139</v>
      </c>
      <c r="C31" t="s">
        <v>87</v>
      </c>
      <c r="D31" t="s">
        <v>30</v>
      </c>
      <c r="E31" t="s">
        <v>15</v>
      </c>
      <c r="F31" s="2">
        <v>935</v>
      </c>
      <c r="G31">
        <v>1</v>
      </c>
      <c r="H31" t="s">
        <v>24</v>
      </c>
      <c r="I31" t="s">
        <v>17</v>
      </c>
      <c r="J31" t="s">
        <v>18</v>
      </c>
      <c r="K31">
        <v>0</v>
      </c>
      <c r="L31">
        <v>0</v>
      </c>
    </row>
    <row r="32" spans="1:12">
      <c r="A32" t="s">
        <v>88</v>
      </c>
      <c r="B32" s="1">
        <v>45013</v>
      </c>
      <c r="C32" t="s">
        <v>89</v>
      </c>
      <c r="D32" t="s">
        <v>30</v>
      </c>
      <c r="E32" t="s">
        <v>21</v>
      </c>
      <c r="F32" s="2">
        <v>190</v>
      </c>
      <c r="G32">
        <v>3</v>
      </c>
      <c r="H32" t="s">
        <v>59</v>
      </c>
      <c r="I32" t="s">
        <v>69</v>
      </c>
      <c r="J32" t="s">
        <v>18</v>
      </c>
      <c r="K32">
        <v>0</v>
      </c>
      <c r="L32">
        <v>0.5</v>
      </c>
    </row>
    <row r="33" spans="1:12">
      <c r="A33" t="s">
        <v>90</v>
      </c>
      <c r="B33" s="1">
        <v>45000</v>
      </c>
      <c r="C33" t="s">
        <v>91</v>
      </c>
      <c r="D33" t="s">
        <v>14</v>
      </c>
      <c r="E33" t="s">
        <v>21</v>
      </c>
      <c r="F33" s="2">
        <v>812</v>
      </c>
      <c r="G33">
        <v>4</v>
      </c>
      <c r="H33" t="s">
        <v>59</v>
      </c>
      <c r="I33" t="s">
        <v>17</v>
      </c>
      <c r="J33" t="s">
        <v>25</v>
      </c>
      <c r="K33">
        <v>40.6</v>
      </c>
      <c r="L33">
        <v>0.75</v>
      </c>
    </row>
    <row r="34" spans="1:12">
      <c r="A34" t="s">
        <v>92</v>
      </c>
      <c r="B34" s="1">
        <v>45047</v>
      </c>
      <c r="C34" t="s">
        <v>93</v>
      </c>
      <c r="D34" t="s">
        <v>30</v>
      </c>
      <c r="E34" t="s">
        <v>15</v>
      </c>
      <c r="F34" s="2">
        <v>120</v>
      </c>
      <c r="G34">
        <v>5</v>
      </c>
      <c r="H34" t="s">
        <v>16</v>
      </c>
      <c r="I34" t="s">
        <v>17</v>
      </c>
      <c r="J34" t="s">
        <v>25</v>
      </c>
      <c r="K34">
        <v>0</v>
      </c>
      <c r="L34">
        <v>1</v>
      </c>
    </row>
    <row r="35" spans="1:12">
      <c r="A35" t="s">
        <v>94</v>
      </c>
      <c r="B35" s="1">
        <v>45047</v>
      </c>
      <c r="C35" t="s">
        <v>95</v>
      </c>
      <c r="D35" t="s">
        <v>38</v>
      </c>
      <c r="E35" t="s">
        <v>21</v>
      </c>
      <c r="F35" s="2">
        <v>99</v>
      </c>
      <c r="G35">
        <v>2</v>
      </c>
      <c r="H35" t="s">
        <v>16</v>
      </c>
      <c r="I35" t="s">
        <v>69</v>
      </c>
      <c r="J35" t="s">
        <v>18</v>
      </c>
      <c r="K35">
        <v>0</v>
      </c>
      <c r="L35">
        <v>0.25</v>
      </c>
    </row>
    <row r="36" spans="1:12">
      <c r="A36" t="s">
        <v>96</v>
      </c>
      <c r="B36" s="1">
        <v>45141</v>
      </c>
      <c r="C36" t="s">
        <v>97</v>
      </c>
      <c r="D36" t="s">
        <v>30</v>
      </c>
      <c r="E36" t="s">
        <v>15</v>
      </c>
      <c r="F36" s="2">
        <v>224</v>
      </c>
      <c r="G36">
        <v>5</v>
      </c>
      <c r="H36" t="s">
        <v>24</v>
      </c>
      <c r="I36" t="s">
        <v>17</v>
      </c>
      <c r="J36" t="s">
        <v>25</v>
      </c>
      <c r="K36">
        <v>0</v>
      </c>
      <c r="L36">
        <v>1</v>
      </c>
    </row>
    <row r="37" spans="1:12">
      <c r="A37" t="s">
        <v>98</v>
      </c>
      <c r="B37" s="1">
        <v>45031</v>
      </c>
      <c r="C37" t="s">
        <v>99</v>
      </c>
      <c r="D37" t="s">
        <v>44</v>
      </c>
      <c r="E37" t="s">
        <v>21</v>
      </c>
      <c r="F37" s="2">
        <v>728</v>
      </c>
      <c r="G37">
        <v>4</v>
      </c>
      <c r="H37" t="s">
        <v>16</v>
      </c>
      <c r="I37" t="s">
        <v>17</v>
      </c>
      <c r="J37" t="s">
        <v>25</v>
      </c>
      <c r="K37">
        <v>36.4</v>
      </c>
      <c r="L37">
        <v>0.75</v>
      </c>
    </row>
    <row r="38" spans="1:12">
      <c r="A38" t="s">
        <v>100</v>
      </c>
      <c r="B38" s="1">
        <v>45191</v>
      </c>
      <c r="C38" t="s">
        <v>101</v>
      </c>
      <c r="D38" t="s">
        <v>14</v>
      </c>
      <c r="E38" t="s">
        <v>15</v>
      </c>
      <c r="F38" s="2">
        <v>368</v>
      </c>
      <c r="G38">
        <v>4</v>
      </c>
      <c r="H38" t="s">
        <v>24</v>
      </c>
      <c r="I38" t="s">
        <v>17</v>
      </c>
      <c r="J38" t="s">
        <v>25</v>
      </c>
      <c r="K38">
        <v>0</v>
      </c>
      <c r="L38">
        <v>0.75</v>
      </c>
    </row>
    <row r="39" spans="1:12">
      <c r="A39" t="s">
        <v>102</v>
      </c>
      <c r="B39" s="1">
        <v>45278</v>
      </c>
      <c r="C39" t="s">
        <v>103</v>
      </c>
      <c r="D39" t="s">
        <v>44</v>
      </c>
      <c r="E39" t="s">
        <v>15</v>
      </c>
      <c r="F39" s="2">
        <v>789</v>
      </c>
      <c r="G39">
        <v>4</v>
      </c>
      <c r="H39" t="s">
        <v>39</v>
      </c>
      <c r="I39" t="s">
        <v>69</v>
      </c>
      <c r="J39" t="s">
        <v>25</v>
      </c>
      <c r="K39">
        <v>39.450000000000003</v>
      </c>
      <c r="L39">
        <v>0.75</v>
      </c>
    </row>
    <row r="40" spans="1:12">
      <c r="A40" t="s">
        <v>104</v>
      </c>
      <c r="B40" s="1">
        <v>45124</v>
      </c>
      <c r="C40" t="s">
        <v>105</v>
      </c>
      <c r="D40" t="s">
        <v>14</v>
      </c>
      <c r="E40" t="s">
        <v>21</v>
      </c>
      <c r="F40" s="2">
        <v>565</v>
      </c>
      <c r="G40">
        <v>4</v>
      </c>
      <c r="H40" t="s">
        <v>24</v>
      </c>
      <c r="I40" t="s">
        <v>17</v>
      </c>
      <c r="J40" t="s">
        <v>25</v>
      </c>
      <c r="K40">
        <v>28.25</v>
      </c>
      <c r="L40">
        <v>0.75</v>
      </c>
    </row>
    <row r="41" spans="1:12">
      <c r="A41" t="s">
        <v>106</v>
      </c>
      <c r="B41" s="1">
        <v>45163</v>
      </c>
      <c r="C41" t="s">
        <v>107</v>
      </c>
      <c r="D41" t="s">
        <v>14</v>
      </c>
      <c r="E41" t="s">
        <v>15</v>
      </c>
      <c r="F41" s="2">
        <v>94</v>
      </c>
      <c r="G41">
        <v>5</v>
      </c>
      <c r="H41" t="s">
        <v>24</v>
      </c>
      <c r="I41" t="s">
        <v>17</v>
      </c>
      <c r="J41" t="s">
        <v>25</v>
      </c>
      <c r="K41">
        <v>0</v>
      </c>
      <c r="L41">
        <v>1</v>
      </c>
    </row>
    <row r="42" spans="1:12">
      <c r="A42" t="s">
        <v>108</v>
      </c>
      <c r="B42" s="1">
        <v>45284</v>
      </c>
      <c r="C42" t="s">
        <v>109</v>
      </c>
      <c r="D42" t="s">
        <v>14</v>
      </c>
      <c r="E42" t="s">
        <v>21</v>
      </c>
      <c r="F42" s="2">
        <v>100</v>
      </c>
      <c r="G42">
        <v>4</v>
      </c>
      <c r="H42" t="s">
        <v>39</v>
      </c>
      <c r="I42" t="s">
        <v>17</v>
      </c>
      <c r="J42" t="s">
        <v>25</v>
      </c>
      <c r="K42">
        <v>0</v>
      </c>
      <c r="L42">
        <v>0.75</v>
      </c>
    </row>
    <row r="43" spans="1:12">
      <c r="A43" t="s">
        <v>110</v>
      </c>
      <c r="B43" s="1">
        <v>45171</v>
      </c>
      <c r="C43" t="s">
        <v>111</v>
      </c>
      <c r="D43" t="s">
        <v>30</v>
      </c>
      <c r="E43" t="s">
        <v>15</v>
      </c>
      <c r="F43" s="2">
        <v>659</v>
      </c>
      <c r="G43">
        <v>2</v>
      </c>
      <c r="H43" t="s">
        <v>24</v>
      </c>
      <c r="I43" t="s">
        <v>17</v>
      </c>
      <c r="J43" t="s">
        <v>18</v>
      </c>
      <c r="K43">
        <v>0</v>
      </c>
      <c r="L43">
        <v>0.25</v>
      </c>
    </row>
    <row r="44" spans="1:12">
      <c r="A44" t="s">
        <v>112</v>
      </c>
      <c r="B44" s="1">
        <v>45237</v>
      </c>
      <c r="C44" t="s">
        <v>113</v>
      </c>
      <c r="D44" t="s">
        <v>33</v>
      </c>
      <c r="E44" t="s">
        <v>21</v>
      </c>
      <c r="F44" s="2">
        <v>222</v>
      </c>
      <c r="G44">
        <v>1</v>
      </c>
      <c r="H44" t="s">
        <v>39</v>
      </c>
      <c r="I44" t="s">
        <v>17</v>
      </c>
      <c r="J44" t="s">
        <v>18</v>
      </c>
      <c r="K44">
        <v>0</v>
      </c>
      <c r="L44">
        <v>0</v>
      </c>
    </row>
    <row r="45" spans="1:12">
      <c r="A45" t="s">
        <v>114</v>
      </c>
      <c r="B45" s="1">
        <v>45074</v>
      </c>
      <c r="C45" t="s">
        <v>115</v>
      </c>
      <c r="D45" t="s">
        <v>33</v>
      </c>
      <c r="E45" t="s">
        <v>21</v>
      </c>
      <c r="F45" s="2">
        <v>478</v>
      </c>
      <c r="G45">
        <v>4</v>
      </c>
      <c r="H45" t="s">
        <v>16</v>
      </c>
      <c r="I45" t="s">
        <v>17</v>
      </c>
      <c r="J45" t="s">
        <v>25</v>
      </c>
      <c r="K45">
        <v>0</v>
      </c>
      <c r="L45">
        <v>0.75</v>
      </c>
    </row>
    <row r="46" spans="1:12">
      <c r="A46" t="s">
        <v>116</v>
      </c>
      <c r="B46" s="1">
        <v>45128</v>
      </c>
      <c r="C46" t="s">
        <v>117</v>
      </c>
      <c r="D46" t="s">
        <v>38</v>
      </c>
      <c r="E46" t="s">
        <v>15</v>
      </c>
      <c r="F46" s="2">
        <v>213</v>
      </c>
      <c r="G46">
        <v>1</v>
      </c>
      <c r="H46" t="s">
        <v>24</v>
      </c>
      <c r="I46" t="s">
        <v>17</v>
      </c>
      <c r="J46" t="s">
        <v>18</v>
      </c>
      <c r="K46">
        <v>0</v>
      </c>
      <c r="L46">
        <v>0</v>
      </c>
    </row>
    <row r="47" spans="1:12">
      <c r="A47" t="s">
        <v>118</v>
      </c>
      <c r="B47" s="1">
        <v>45144</v>
      </c>
      <c r="C47" t="s">
        <v>119</v>
      </c>
      <c r="D47" t="s">
        <v>14</v>
      </c>
      <c r="E47" t="s">
        <v>21</v>
      </c>
      <c r="F47" s="2">
        <v>900</v>
      </c>
      <c r="G47">
        <v>4</v>
      </c>
      <c r="H47" t="s">
        <v>24</v>
      </c>
      <c r="I47" t="s">
        <v>17</v>
      </c>
      <c r="J47" t="s">
        <v>25</v>
      </c>
      <c r="K47">
        <v>45</v>
      </c>
      <c r="L47">
        <v>0.75</v>
      </c>
    </row>
    <row r="48" spans="1:12">
      <c r="A48" t="s">
        <v>120</v>
      </c>
      <c r="B48" s="1">
        <v>45151</v>
      </c>
      <c r="C48" t="s">
        <v>121</v>
      </c>
      <c r="D48" t="s">
        <v>14</v>
      </c>
      <c r="E48" t="s">
        <v>21</v>
      </c>
      <c r="F48" s="2">
        <v>872</v>
      </c>
      <c r="G48">
        <v>4</v>
      </c>
      <c r="H48" t="s">
        <v>24</v>
      </c>
      <c r="I48" t="s">
        <v>17</v>
      </c>
      <c r="J48" t="s">
        <v>25</v>
      </c>
      <c r="K48">
        <v>43.6</v>
      </c>
      <c r="L48">
        <v>0.75</v>
      </c>
    </row>
    <row r="49" spans="1:12">
      <c r="A49" t="s">
        <v>122</v>
      </c>
      <c r="B49" s="1">
        <v>45008</v>
      </c>
      <c r="C49" t="s">
        <v>123</v>
      </c>
      <c r="D49" t="s">
        <v>33</v>
      </c>
      <c r="E49" t="s">
        <v>21</v>
      </c>
      <c r="F49" s="2">
        <v>443</v>
      </c>
      <c r="G49">
        <v>4</v>
      </c>
      <c r="H49" t="s">
        <v>59</v>
      </c>
      <c r="I49" t="s">
        <v>17</v>
      </c>
      <c r="J49" t="s">
        <v>25</v>
      </c>
      <c r="K49">
        <v>0</v>
      </c>
      <c r="L49">
        <v>0.75</v>
      </c>
    </row>
    <row r="50" spans="1:12">
      <c r="A50" t="s">
        <v>124</v>
      </c>
      <c r="B50" s="1">
        <v>45047</v>
      </c>
      <c r="C50" t="s">
        <v>125</v>
      </c>
      <c r="D50" t="s">
        <v>44</v>
      </c>
      <c r="E50" t="s">
        <v>21</v>
      </c>
      <c r="F50" s="2">
        <v>955</v>
      </c>
      <c r="G50">
        <v>4</v>
      </c>
      <c r="H50" t="s">
        <v>16</v>
      </c>
      <c r="I50" t="s">
        <v>17</v>
      </c>
      <c r="J50" t="s">
        <v>25</v>
      </c>
      <c r="K50">
        <v>47.75</v>
      </c>
      <c r="L50">
        <v>0.75</v>
      </c>
    </row>
    <row r="51" spans="1:12">
      <c r="A51" t="s">
        <v>126</v>
      </c>
      <c r="B51" s="1">
        <v>45047</v>
      </c>
      <c r="C51" t="s">
        <v>127</v>
      </c>
      <c r="D51" t="s">
        <v>30</v>
      </c>
      <c r="E51" t="s">
        <v>21</v>
      </c>
      <c r="F51" s="2">
        <v>560</v>
      </c>
      <c r="G51">
        <v>5</v>
      </c>
      <c r="H51" t="s">
        <v>16</v>
      </c>
      <c r="I51" t="s">
        <v>17</v>
      </c>
      <c r="J51" t="s">
        <v>25</v>
      </c>
      <c r="K51">
        <v>28</v>
      </c>
      <c r="L51">
        <v>1</v>
      </c>
    </row>
    <row r="52" spans="1:12">
      <c r="A52" t="s">
        <v>128</v>
      </c>
      <c r="B52" s="1">
        <v>44940</v>
      </c>
      <c r="C52" t="s">
        <v>129</v>
      </c>
      <c r="D52" t="s">
        <v>66</v>
      </c>
      <c r="E52" t="s">
        <v>21</v>
      </c>
      <c r="F52" s="2">
        <v>144</v>
      </c>
      <c r="G52">
        <v>4</v>
      </c>
      <c r="H52" t="s">
        <v>59</v>
      </c>
      <c r="I52" t="s">
        <v>17</v>
      </c>
      <c r="J52" t="s">
        <v>25</v>
      </c>
      <c r="K52">
        <v>0</v>
      </c>
      <c r="L52">
        <v>0.75</v>
      </c>
    </row>
    <row r="53" spans="1:12">
      <c r="A53" t="s">
        <v>130</v>
      </c>
      <c r="B53" s="1">
        <v>45040</v>
      </c>
      <c r="C53" t="s">
        <v>131</v>
      </c>
      <c r="D53" t="s">
        <v>44</v>
      </c>
      <c r="E53" t="s">
        <v>21</v>
      </c>
      <c r="F53" s="2">
        <v>914</v>
      </c>
      <c r="G53">
        <v>5</v>
      </c>
      <c r="H53" t="s">
        <v>16</v>
      </c>
      <c r="I53" t="s">
        <v>17</v>
      </c>
      <c r="J53" t="s">
        <v>25</v>
      </c>
      <c r="K53">
        <v>45.7</v>
      </c>
      <c r="L53">
        <v>1</v>
      </c>
    </row>
    <row r="54" spans="1:12">
      <c r="A54" t="s">
        <v>132</v>
      </c>
      <c r="B54" s="1">
        <v>45047</v>
      </c>
      <c r="C54" t="s">
        <v>133</v>
      </c>
      <c r="D54" t="s">
        <v>44</v>
      </c>
      <c r="E54" t="s">
        <v>21</v>
      </c>
      <c r="F54" s="2">
        <v>831</v>
      </c>
      <c r="G54">
        <v>4</v>
      </c>
      <c r="H54" t="s">
        <v>16</v>
      </c>
      <c r="I54" t="s">
        <v>17</v>
      </c>
      <c r="J54" t="s">
        <v>25</v>
      </c>
      <c r="K54">
        <v>41.55</v>
      </c>
      <c r="L54">
        <v>0.75</v>
      </c>
    </row>
    <row r="55" spans="1:12">
      <c r="A55" t="s">
        <v>134</v>
      </c>
      <c r="B55" s="1">
        <v>45091</v>
      </c>
      <c r="C55" t="s">
        <v>135</v>
      </c>
      <c r="D55" t="s">
        <v>38</v>
      </c>
      <c r="E55" t="s">
        <v>21</v>
      </c>
      <c r="F55" s="2">
        <v>527</v>
      </c>
      <c r="G55">
        <v>4</v>
      </c>
      <c r="H55" t="s">
        <v>16</v>
      </c>
      <c r="I55" t="s">
        <v>17</v>
      </c>
      <c r="J55" t="s">
        <v>25</v>
      </c>
      <c r="K55">
        <v>26.35</v>
      </c>
      <c r="L55">
        <v>0.75</v>
      </c>
    </row>
    <row r="56" spans="1:12">
      <c r="A56" t="s">
        <v>136</v>
      </c>
      <c r="B56" s="1">
        <v>44933</v>
      </c>
      <c r="C56" t="s">
        <v>137</v>
      </c>
      <c r="D56" t="s">
        <v>44</v>
      </c>
      <c r="E56" t="s">
        <v>21</v>
      </c>
      <c r="F56" s="2">
        <v>571</v>
      </c>
      <c r="G56">
        <v>4</v>
      </c>
      <c r="H56" t="s">
        <v>59</v>
      </c>
      <c r="I56" t="s">
        <v>17</v>
      </c>
      <c r="J56" t="s">
        <v>25</v>
      </c>
      <c r="K56">
        <v>28.55</v>
      </c>
      <c r="L56">
        <v>0.75</v>
      </c>
    </row>
    <row r="57" spans="1:12">
      <c r="A57" t="s">
        <v>138</v>
      </c>
      <c r="B57" s="1">
        <v>45047</v>
      </c>
      <c r="C57" t="s">
        <v>139</v>
      </c>
      <c r="D57" t="s">
        <v>30</v>
      </c>
      <c r="E57" t="s">
        <v>21</v>
      </c>
      <c r="F57" s="2">
        <v>704</v>
      </c>
      <c r="G57">
        <v>2</v>
      </c>
      <c r="H57" t="s">
        <v>16</v>
      </c>
      <c r="I57" t="s">
        <v>17</v>
      </c>
      <c r="J57" t="s">
        <v>18</v>
      </c>
      <c r="K57">
        <v>0</v>
      </c>
      <c r="L57">
        <v>0.25</v>
      </c>
    </row>
    <row r="58" spans="1:12">
      <c r="A58" t="s">
        <v>140</v>
      </c>
      <c r="B58" s="1">
        <v>45047</v>
      </c>
      <c r="C58" t="s">
        <v>141</v>
      </c>
      <c r="D58" t="s">
        <v>66</v>
      </c>
      <c r="E58" t="s">
        <v>21</v>
      </c>
      <c r="F58" s="2">
        <v>984</v>
      </c>
      <c r="G58">
        <v>4</v>
      </c>
      <c r="H58" t="s">
        <v>16</v>
      </c>
      <c r="I58" t="s">
        <v>17</v>
      </c>
      <c r="J58" t="s">
        <v>25</v>
      </c>
      <c r="K58">
        <v>49.2</v>
      </c>
      <c r="L58">
        <v>0.75</v>
      </c>
    </row>
    <row r="59" spans="1:12">
      <c r="A59" t="s">
        <v>142</v>
      </c>
      <c r="B59" s="1">
        <v>45095</v>
      </c>
      <c r="C59" t="s">
        <v>143</v>
      </c>
      <c r="D59" t="s">
        <v>38</v>
      </c>
      <c r="E59" t="s">
        <v>21</v>
      </c>
      <c r="F59" s="2">
        <v>436</v>
      </c>
      <c r="G59">
        <v>1</v>
      </c>
      <c r="H59" t="s">
        <v>16</v>
      </c>
      <c r="I59" t="s">
        <v>17</v>
      </c>
      <c r="J59" t="s">
        <v>18</v>
      </c>
      <c r="K59">
        <v>0</v>
      </c>
      <c r="L59">
        <v>0</v>
      </c>
    </row>
    <row r="60" spans="1:12">
      <c r="A60" t="s">
        <v>144</v>
      </c>
      <c r="B60" s="1">
        <v>45188</v>
      </c>
      <c r="C60" t="s">
        <v>145</v>
      </c>
      <c r="D60" t="s">
        <v>38</v>
      </c>
      <c r="E60" t="s">
        <v>21</v>
      </c>
      <c r="F60" s="2">
        <v>663</v>
      </c>
      <c r="G60">
        <v>4</v>
      </c>
      <c r="H60" t="s">
        <v>24</v>
      </c>
      <c r="I60" t="s">
        <v>17</v>
      </c>
      <c r="J60" t="s">
        <v>25</v>
      </c>
      <c r="K60">
        <v>33.15</v>
      </c>
      <c r="L60">
        <v>0.75</v>
      </c>
    </row>
    <row r="61" spans="1:12">
      <c r="A61" t="s">
        <v>146</v>
      </c>
      <c r="B61" s="1">
        <v>45047</v>
      </c>
      <c r="C61" t="s">
        <v>147</v>
      </c>
      <c r="D61" t="s">
        <v>33</v>
      </c>
      <c r="E61" t="s">
        <v>21</v>
      </c>
      <c r="F61" s="2">
        <v>61</v>
      </c>
      <c r="G61">
        <v>1</v>
      </c>
      <c r="H61" t="s">
        <v>16</v>
      </c>
      <c r="I61" t="s">
        <v>69</v>
      </c>
      <c r="J61" t="s">
        <v>18</v>
      </c>
      <c r="K61">
        <v>0</v>
      </c>
      <c r="L61">
        <v>0</v>
      </c>
    </row>
    <row r="62" spans="1:12">
      <c r="A62" t="s">
        <v>148</v>
      </c>
      <c r="B62" s="1">
        <v>45047</v>
      </c>
      <c r="C62" t="s">
        <v>149</v>
      </c>
      <c r="D62" t="s">
        <v>14</v>
      </c>
      <c r="E62" t="s">
        <v>21</v>
      </c>
      <c r="F62" s="2">
        <v>556</v>
      </c>
      <c r="G62">
        <v>5</v>
      </c>
      <c r="H62" t="s">
        <v>16</v>
      </c>
      <c r="I62" t="s">
        <v>17</v>
      </c>
      <c r="J62" t="s">
        <v>25</v>
      </c>
      <c r="K62">
        <v>27.8</v>
      </c>
      <c r="L62">
        <v>1</v>
      </c>
    </row>
    <row r="63" spans="1:12">
      <c r="A63" t="s">
        <v>150</v>
      </c>
      <c r="B63" s="1">
        <v>45047</v>
      </c>
      <c r="C63" t="s">
        <v>151</v>
      </c>
      <c r="D63" t="s">
        <v>44</v>
      </c>
      <c r="E63" t="s">
        <v>21</v>
      </c>
      <c r="F63" s="2">
        <v>274</v>
      </c>
      <c r="G63">
        <v>1</v>
      </c>
      <c r="H63" t="s">
        <v>16</v>
      </c>
      <c r="I63" t="s">
        <v>17</v>
      </c>
      <c r="J63" t="s">
        <v>18</v>
      </c>
      <c r="K63">
        <v>0</v>
      </c>
      <c r="L63">
        <v>0</v>
      </c>
    </row>
    <row r="64" spans="1:12">
      <c r="A64" t="s">
        <v>152</v>
      </c>
      <c r="B64" s="1">
        <v>45043</v>
      </c>
      <c r="C64" t="s">
        <v>153</v>
      </c>
      <c r="D64" t="s">
        <v>14</v>
      </c>
      <c r="E64" t="s">
        <v>21</v>
      </c>
      <c r="F64" s="2">
        <v>243</v>
      </c>
      <c r="G64">
        <v>2</v>
      </c>
      <c r="H64" t="s">
        <v>16</v>
      </c>
      <c r="I64" t="s">
        <v>17</v>
      </c>
      <c r="J64" t="s">
        <v>18</v>
      </c>
      <c r="K64">
        <v>0</v>
      </c>
      <c r="L64">
        <v>0.25</v>
      </c>
    </row>
    <row r="65" spans="1:12">
      <c r="A65" t="s">
        <v>154</v>
      </c>
      <c r="B65" s="1">
        <v>45027</v>
      </c>
      <c r="C65" t="s">
        <v>155</v>
      </c>
      <c r="D65" t="s">
        <v>66</v>
      </c>
      <c r="E65" t="s">
        <v>21</v>
      </c>
      <c r="F65" s="2">
        <v>987</v>
      </c>
      <c r="G65">
        <v>1</v>
      </c>
      <c r="H65" t="s">
        <v>16</v>
      </c>
      <c r="I65" t="s">
        <v>17</v>
      </c>
      <c r="J65" t="s">
        <v>18</v>
      </c>
      <c r="K65">
        <v>0</v>
      </c>
      <c r="L65">
        <v>0</v>
      </c>
    </row>
    <row r="66" spans="1:12">
      <c r="A66" t="s">
        <v>156</v>
      </c>
      <c r="B66" s="1">
        <v>45116</v>
      </c>
      <c r="C66" t="s">
        <v>157</v>
      </c>
      <c r="D66" t="s">
        <v>14</v>
      </c>
      <c r="E66" t="s">
        <v>15</v>
      </c>
      <c r="F66" s="2">
        <v>117</v>
      </c>
      <c r="G66">
        <v>5</v>
      </c>
      <c r="H66" t="s">
        <v>24</v>
      </c>
      <c r="I66" t="s">
        <v>17</v>
      </c>
      <c r="J66" t="s">
        <v>25</v>
      </c>
      <c r="K66">
        <v>0</v>
      </c>
      <c r="L66">
        <v>1</v>
      </c>
    </row>
    <row r="67" spans="1:12">
      <c r="A67" t="s">
        <v>158</v>
      </c>
      <c r="B67" s="1">
        <v>44976</v>
      </c>
      <c r="C67" t="s">
        <v>159</v>
      </c>
      <c r="D67" t="s">
        <v>33</v>
      </c>
      <c r="E67" t="s">
        <v>21</v>
      </c>
      <c r="F67" s="2">
        <v>736</v>
      </c>
      <c r="G67">
        <v>5</v>
      </c>
      <c r="H67" t="s">
        <v>59</v>
      </c>
      <c r="I67" t="s">
        <v>17</v>
      </c>
      <c r="J67" t="s">
        <v>25</v>
      </c>
      <c r="K67">
        <v>36.799999999999997</v>
      </c>
      <c r="L67">
        <v>1</v>
      </c>
    </row>
    <row r="68" spans="1:12">
      <c r="A68" t="s">
        <v>160</v>
      </c>
      <c r="B68" s="1">
        <v>44952</v>
      </c>
      <c r="C68" t="s">
        <v>161</v>
      </c>
      <c r="D68" t="s">
        <v>33</v>
      </c>
      <c r="E68" t="s">
        <v>21</v>
      </c>
      <c r="F68" s="2">
        <v>122</v>
      </c>
      <c r="G68">
        <v>4</v>
      </c>
      <c r="H68" t="s">
        <v>59</v>
      </c>
      <c r="I68" t="s">
        <v>17</v>
      </c>
      <c r="J68" t="s">
        <v>25</v>
      </c>
      <c r="K68">
        <v>0</v>
      </c>
      <c r="L68">
        <v>0.75</v>
      </c>
    </row>
    <row r="69" spans="1:12">
      <c r="A69" t="s">
        <v>162</v>
      </c>
      <c r="B69" s="1">
        <v>45047</v>
      </c>
      <c r="C69" t="s">
        <v>163</v>
      </c>
      <c r="D69" t="s">
        <v>30</v>
      </c>
      <c r="E69" t="s">
        <v>21</v>
      </c>
      <c r="F69" s="2">
        <v>441</v>
      </c>
      <c r="G69">
        <v>4</v>
      </c>
      <c r="H69" t="s">
        <v>16</v>
      </c>
      <c r="I69" t="s">
        <v>17</v>
      </c>
      <c r="J69" t="s">
        <v>25</v>
      </c>
      <c r="K69">
        <v>0</v>
      </c>
      <c r="L69">
        <v>0.75</v>
      </c>
    </row>
    <row r="70" spans="1:12">
      <c r="A70" t="s">
        <v>164</v>
      </c>
      <c r="B70" s="1">
        <v>45018</v>
      </c>
      <c r="C70" t="s">
        <v>165</v>
      </c>
      <c r="D70" t="s">
        <v>38</v>
      </c>
      <c r="E70" t="s">
        <v>21</v>
      </c>
      <c r="F70" s="2">
        <v>469</v>
      </c>
      <c r="G70">
        <v>3</v>
      </c>
      <c r="H70" t="s">
        <v>16</v>
      </c>
      <c r="I70" t="s">
        <v>17</v>
      </c>
      <c r="J70" t="s">
        <v>18</v>
      </c>
      <c r="K70">
        <v>0</v>
      </c>
      <c r="L70">
        <v>0.5</v>
      </c>
    </row>
    <row r="71" spans="1:12">
      <c r="A71" t="s">
        <v>166</v>
      </c>
      <c r="B71" s="1">
        <v>45047</v>
      </c>
      <c r="C71" t="s">
        <v>167</v>
      </c>
      <c r="D71" t="s">
        <v>33</v>
      </c>
      <c r="E71" t="s">
        <v>15</v>
      </c>
      <c r="F71" s="2">
        <v>201</v>
      </c>
      <c r="G71">
        <v>1</v>
      </c>
      <c r="H71" t="s">
        <v>16</v>
      </c>
      <c r="I71" t="s">
        <v>17</v>
      </c>
      <c r="J71" t="s">
        <v>18</v>
      </c>
      <c r="K71">
        <v>0</v>
      </c>
      <c r="L71">
        <v>0</v>
      </c>
    </row>
    <row r="72" spans="1:12">
      <c r="A72" t="s">
        <v>168</v>
      </c>
      <c r="B72" s="1">
        <v>45226</v>
      </c>
      <c r="C72" t="s">
        <v>169</v>
      </c>
      <c r="D72" t="s">
        <v>38</v>
      </c>
      <c r="E72" t="s">
        <v>15</v>
      </c>
      <c r="F72" s="2">
        <v>954</v>
      </c>
      <c r="G72">
        <v>2</v>
      </c>
      <c r="H72" t="s">
        <v>39</v>
      </c>
      <c r="I72" t="s">
        <v>17</v>
      </c>
      <c r="J72" t="s">
        <v>18</v>
      </c>
      <c r="K72">
        <v>0</v>
      </c>
      <c r="L72">
        <v>0.25</v>
      </c>
    </row>
    <row r="73" spans="1:12">
      <c r="A73" t="s">
        <v>170</v>
      </c>
      <c r="B73" s="1">
        <v>45278</v>
      </c>
      <c r="C73" t="s">
        <v>171</v>
      </c>
      <c r="D73" t="s">
        <v>14</v>
      </c>
      <c r="E73" t="s">
        <v>21</v>
      </c>
      <c r="F73" s="2">
        <v>221</v>
      </c>
      <c r="G73">
        <v>4</v>
      </c>
      <c r="H73" t="s">
        <v>39</v>
      </c>
      <c r="I73" t="s">
        <v>17</v>
      </c>
      <c r="J73" t="s">
        <v>25</v>
      </c>
      <c r="K73">
        <v>0</v>
      </c>
      <c r="L73">
        <v>0.75</v>
      </c>
    </row>
    <row r="74" spans="1:12">
      <c r="A74" t="s">
        <v>172</v>
      </c>
      <c r="B74" s="1">
        <v>44947</v>
      </c>
      <c r="C74" t="s">
        <v>173</v>
      </c>
      <c r="D74" t="s">
        <v>38</v>
      </c>
      <c r="E74" t="s">
        <v>21</v>
      </c>
      <c r="F74" s="2">
        <v>436</v>
      </c>
      <c r="G74">
        <v>1</v>
      </c>
      <c r="H74" t="s">
        <v>59</v>
      </c>
      <c r="I74" t="s">
        <v>17</v>
      </c>
      <c r="J74" t="s">
        <v>18</v>
      </c>
      <c r="K74">
        <v>0</v>
      </c>
      <c r="L74">
        <v>0</v>
      </c>
    </row>
    <row r="75" spans="1:12">
      <c r="A75" t="s">
        <v>174</v>
      </c>
      <c r="B75" s="1">
        <v>45061</v>
      </c>
      <c r="C75" t="s">
        <v>175</v>
      </c>
      <c r="D75" t="s">
        <v>38</v>
      </c>
      <c r="E75" t="s">
        <v>21</v>
      </c>
      <c r="F75" s="2">
        <v>572</v>
      </c>
      <c r="G75">
        <v>4</v>
      </c>
      <c r="H75" t="s">
        <v>16</v>
      </c>
      <c r="I75" t="s">
        <v>17</v>
      </c>
      <c r="J75" t="s">
        <v>25</v>
      </c>
      <c r="K75">
        <v>28.6</v>
      </c>
      <c r="L75">
        <v>0.75</v>
      </c>
    </row>
    <row r="76" spans="1:12">
      <c r="A76" t="s">
        <v>176</v>
      </c>
      <c r="B76" s="1">
        <v>44937</v>
      </c>
      <c r="C76" t="s">
        <v>177</v>
      </c>
      <c r="D76" t="s">
        <v>44</v>
      </c>
      <c r="E76" t="s">
        <v>15</v>
      </c>
      <c r="F76" s="2">
        <v>958</v>
      </c>
      <c r="G76">
        <v>4</v>
      </c>
      <c r="H76" t="s">
        <v>59</v>
      </c>
      <c r="I76" t="s">
        <v>69</v>
      </c>
      <c r="J76" t="s">
        <v>25</v>
      </c>
      <c r="K76">
        <v>47.9</v>
      </c>
      <c r="L76">
        <v>0.75</v>
      </c>
    </row>
    <row r="77" spans="1:12">
      <c r="A77" t="s">
        <v>178</v>
      </c>
      <c r="B77" s="1">
        <v>45153</v>
      </c>
      <c r="C77" t="s">
        <v>179</v>
      </c>
      <c r="D77" t="s">
        <v>44</v>
      </c>
      <c r="E77" t="s">
        <v>21</v>
      </c>
      <c r="F77" s="2">
        <v>364</v>
      </c>
      <c r="G77">
        <v>4</v>
      </c>
      <c r="H77" t="s">
        <v>24</v>
      </c>
      <c r="I77" t="s">
        <v>17</v>
      </c>
      <c r="J77" t="s">
        <v>25</v>
      </c>
      <c r="K77">
        <v>0</v>
      </c>
      <c r="L77">
        <v>0.75</v>
      </c>
    </row>
    <row r="78" spans="1:12">
      <c r="A78" t="s">
        <v>180</v>
      </c>
      <c r="B78" s="1">
        <v>45282</v>
      </c>
      <c r="C78" t="s">
        <v>181</v>
      </c>
      <c r="D78" t="s">
        <v>33</v>
      </c>
      <c r="E78" t="s">
        <v>21</v>
      </c>
      <c r="F78" s="2">
        <v>940</v>
      </c>
      <c r="G78">
        <v>4</v>
      </c>
      <c r="H78" t="s">
        <v>39</v>
      </c>
      <c r="I78" t="s">
        <v>17</v>
      </c>
      <c r="J78" t="s">
        <v>25</v>
      </c>
      <c r="K78">
        <v>47</v>
      </c>
      <c r="L78">
        <v>0.75</v>
      </c>
    </row>
    <row r="79" spans="1:12">
      <c r="A79" t="s">
        <v>182</v>
      </c>
      <c r="B79" s="1">
        <v>45047</v>
      </c>
      <c r="C79" t="s">
        <v>183</v>
      </c>
      <c r="D79" t="s">
        <v>38</v>
      </c>
      <c r="E79" t="s">
        <v>21</v>
      </c>
      <c r="F79" s="2">
        <v>941</v>
      </c>
      <c r="G79">
        <v>3</v>
      </c>
      <c r="H79" t="s">
        <v>16</v>
      </c>
      <c r="I79" t="s">
        <v>17</v>
      </c>
      <c r="J79" t="s">
        <v>18</v>
      </c>
      <c r="K79">
        <v>0</v>
      </c>
      <c r="L79">
        <v>0.5</v>
      </c>
    </row>
    <row r="80" spans="1:12">
      <c r="A80" t="s">
        <v>184</v>
      </c>
      <c r="B80" s="1">
        <v>45192</v>
      </c>
      <c r="C80" t="s">
        <v>185</v>
      </c>
      <c r="D80" t="s">
        <v>14</v>
      </c>
      <c r="E80" t="s">
        <v>21</v>
      </c>
      <c r="F80" s="2">
        <v>458</v>
      </c>
      <c r="G80">
        <v>5</v>
      </c>
      <c r="H80" t="s">
        <v>24</v>
      </c>
      <c r="I80" t="s">
        <v>17</v>
      </c>
      <c r="J80" t="s">
        <v>25</v>
      </c>
      <c r="K80">
        <v>0</v>
      </c>
      <c r="L80">
        <v>1</v>
      </c>
    </row>
    <row r="81" spans="1:12">
      <c r="A81" t="s">
        <v>186</v>
      </c>
      <c r="B81" s="1">
        <v>45171</v>
      </c>
      <c r="C81" t="s">
        <v>187</v>
      </c>
      <c r="D81" t="s">
        <v>14</v>
      </c>
      <c r="E81" t="s">
        <v>21</v>
      </c>
      <c r="F81" s="2">
        <v>559</v>
      </c>
      <c r="G81">
        <v>4</v>
      </c>
      <c r="H81" t="s">
        <v>24</v>
      </c>
      <c r="I81" t="s">
        <v>17</v>
      </c>
      <c r="J81" t="s">
        <v>25</v>
      </c>
      <c r="K81">
        <v>27.95</v>
      </c>
      <c r="L81">
        <v>0.75</v>
      </c>
    </row>
    <row r="82" spans="1:12">
      <c r="A82" t="s">
        <v>188</v>
      </c>
      <c r="B82" s="1">
        <v>45051</v>
      </c>
      <c r="C82" t="s">
        <v>189</v>
      </c>
      <c r="D82" t="s">
        <v>33</v>
      </c>
      <c r="E82" t="s">
        <v>21</v>
      </c>
      <c r="F82" s="2">
        <v>957</v>
      </c>
      <c r="G82">
        <v>3</v>
      </c>
      <c r="H82" t="s">
        <v>16</v>
      </c>
      <c r="I82" t="s">
        <v>69</v>
      </c>
      <c r="J82" t="s">
        <v>18</v>
      </c>
      <c r="K82">
        <v>0</v>
      </c>
      <c r="L82">
        <v>0.5</v>
      </c>
    </row>
    <row r="83" spans="1:12">
      <c r="A83" t="s">
        <v>190</v>
      </c>
      <c r="B83" s="1">
        <v>45270</v>
      </c>
      <c r="C83" t="s">
        <v>191</v>
      </c>
      <c r="D83" t="s">
        <v>38</v>
      </c>
      <c r="E83" t="s">
        <v>21</v>
      </c>
      <c r="F83" s="2">
        <v>299</v>
      </c>
      <c r="G83">
        <v>5</v>
      </c>
      <c r="H83" t="s">
        <v>39</v>
      </c>
      <c r="I83" t="s">
        <v>17</v>
      </c>
      <c r="J83" t="s">
        <v>25</v>
      </c>
      <c r="K83">
        <v>0</v>
      </c>
      <c r="L83">
        <v>1</v>
      </c>
    </row>
    <row r="84" spans="1:12">
      <c r="A84" t="s">
        <v>192</v>
      </c>
      <c r="B84" s="1">
        <v>45190</v>
      </c>
      <c r="C84" t="s">
        <v>193</v>
      </c>
      <c r="D84" t="s">
        <v>14</v>
      </c>
      <c r="E84" t="s">
        <v>21</v>
      </c>
      <c r="F84" s="2">
        <v>842</v>
      </c>
      <c r="G84">
        <v>4</v>
      </c>
      <c r="H84" t="s">
        <v>24</v>
      </c>
      <c r="I84" t="s">
        <v>17</v>
      </c>
      <c r="J84" t="s">
        <v>25</v>
      </c>
      <c r="K84">
        <v>42.1</v>
      </c>
      <c r="L84">
        <v>0.75</v>
      </c>
    </row>
    <row r="85" spans="1:12">
      <c r="A85" t="s">
        <v>194</v>
      </c>
      <c r="B85" s="1">
        <v>45061</v>
      </c>
      <c r="C85" t="s">
        <v>195</v>
      </c>
      <c r="D85" t="s">
        <v>33</v>
      </c>
      <c r="E85" t="s">
        <v>15</v>
      </c>
      <c r="F85" s="2">
        <v>793</v>
      </c>
      <c r="G85">
        <v>3</v>
      </c>
      <c r="H85" t="s">
        <v>16</v>
      </c>
      <c r="I85" t="s">
        <v>17</v>
      </c>
      <c r="J85" t="s">
        <v>18</v>
      </c>
      <c r="K85">
        <v>0</v>
      </c>
      <c r="L85">
        <v>0.5</v>
      </c>
    </row>
    <row r="86" spans="1:12">
      <c r="A86" t="s">
        <v>196</v>
      </c>
      <c r="B86" s="1">
        <v>45170</v>
      </c>
      <c r="C86" t="s">
        <v>197</v>
      </c>
      <c r="D86" t="s">
        <v>14</v>
      </c>
      <c r="E86" t="s">
        <v>21</v>
      </c>
      <c r="F86" s="2">
        <v>360</v>
      </c>
      <c r="G86">
        <v>4</v>
      </c>
      <c r="H86" t="s">
        <v>24</v>
      </c>
      <c r="I86" t="s">
        <v>17</v>
      </c>
      <c r="J86" t="s">
        <v>25</v>
      </c>
      <c r="K86">
        <v>0</v>
      </c>
      <c r="L86">
        <v>0.75</v>
      </c>
    </row>
    <row r="87" spans="1:12">
      <c r="A87" t="s">
        <v>198</v>
      </c>
      <c r="B87" s="1">
        <v>45047</v>
      </c>
      <c r="C87" t="s">
        <v>199</v>
      </c>
      <c r="D87" t="s">
        <v>14</v>
      </c>
      <c r="E87" t="s">
        <v>21</v>
      </c>
      <c r="F87" s="2">
        <v>189</v>
      </c>
      <c r="G87">
        <v>4</v>
      </c>
      <c r="H87" t="s">
        <v>16</v>
      </c>
      <c r="I87" t="s">
        <v>17</v>
      </c>
      <c r="J87" t="s">
        <v>25</v>
      </c>
      <c r="K87">
        <v>0</v>
      </c>
      <c r="L87">
        <v>0.75</v>
      </c>
    </row>
    <row r="88" spans="1:12">
      <c r="A88" t="s">
        <v>200</v>
      </c>
      <c r="B88" s="1">
        <v>45255</v>
      </c>
      <c r="C88" t="s">
        <v>201</v>
      </c>
      <c r="D88" t="s">
        <v>14</v>
      </c>
      <c r="E88" t="s">
        <v>15</v>
      </c>
      <c r="F88" s="2">
        <v>142</v>
      </c>
      <c r="G88">
        <v>2</v>
      </c>
      <c r="H88" t="s">
        <v>39</v>
      </c>
      <c r="I88" t="s">
        <v>17</v>
      </c>
      <c r="J88" t="s">
        <v>18</v>
      </c>
      <c r="K88">
        <v>0</v>
      </c>
      <c r="L88">
        <v>0.25</v>
      </c>
    </row>
    <row r="89" spans="1:12">
      <c r="A89" t="s">
        <v>202</v>
      </c>
      <c r="B89" s="1">
        <v>45047</v>
      </c>
      <c r="C89" t="s">
        <v>203</v>
      </c>
      <c r="D89" t="s">
        <v>66</v>
      </c>
      <c r="E89" t="s">
        <v>21</v>
      </c>
      <c r="F89" s="2">
        <v>162</v>
      </c>
      <c r="G89">
        <v>4</v>
      </c>
      <c r="H89" t="s">
        <v>16</v>
      </c>
      <c r="I89" t="s">
        <v>69</v>
      </c>
      <c r="J89" t="s">
        <v>25</v>
      </c>
      <c r="K89">
        <v>0</v>
      </c>
      <c r="L89">
        <v>0.75</v>
      </c>
    </row>
    <row r="90" spans="1:12">
      <c r="A90" t="s">
        <v>204</v>
      </c>
      <c r="B90" s="1">
        <v>45027</v>
      </c>
      <c r="C90" t="s">
        <v>205</v>
      </c>
      <c r="D90" t="s">
        <v>33</v>
      </c>
      <c r="E90" t="s">
        <v>21</v>
      </c>
      <c r="F90" s="2">
        <v>578</v>
      </c>
      <c r="G90">
        <v>1</v>
      </c>
      <c r="H90" t="s">
        <v>16</v>
      </c>
      <c r="I90" t="s">
        <v>17</v>
      </c>
      <c r="J90" t="s">
        <v>18</v>
      </c>
      <c r="K90">
        <v>0</v>
      </c>
      <c r="L90">
        <v>0</v>
      </c>
    </row>
    <row r="91" spans="1:12">
      <c r="A91" t="s">
        <v>206</v>
      </c>
      <c r="B91" s="1">
        <v>45047</v>
      </c>
      <c r="C91" t="s">
        <v>207</v>
      </c>
      <c r="D91" t="s">
        <v>38</v>
      </c>
      <c r="E91" t="s">
        <v>21</v>
      </c>
      <c r="F91" s="2">
        <v>602</v>
      </c>
      <c r="G91">
        <v>2</v>
      </c>
      <c r="H91" t="s">
        <v>16</v>
      </c>
      <c r="I91" t="s">
        <v>17</v>
      </c>
      <c r="J91" t="s">
        <v>18</v>
      </c>
      <c r="K91">
        <v>0</v>
      </c>
      <c r="L91">
        <v>0.25</v>
      </c>
    </row>
    <row r="92" spans="1:12">
      <c r="A92" t="s">
        <v>208</v>
      </c>
      <c r="B92" s="1">
        <v>44994</v>
      </c>
      <c r="C92" t="s">
        <v>209</v>
      </c>
      <c r="D92" t="s">
        <v>14</v>
      </c>
      <c r="E92" t="s">
        <v>15</v>
      </c>
      <c r="F92" s="2">
        <v>407</v>
      </c>
      <c r="G92">
        <v>4</v>
      </c>
      <c r="H92" t="s">
        <v>59</v>
      </c>
      <c r="I92" t="s">
        <v>17</v>
      </c>
      <c r="J92" t="s">
        <v>25</v>
      </c>
      <c r="K92">
        <v>0</v>
      </c>
      <c r="L92">
        <v>0.75</v>
      </c>
    </row>
    <row r="93" spans="1:12">
      <c r="A93" t="s">
        <v>210</v>
      </c>
      <c r="B93" s="1">
        <v>44982</v>
      </c>
      <c r="C93" t="s">
        <v>211</v>
      </c>
      <c r="D93" t="s">
        <v>44</v>
      </c>
      <c r="E93" t="s">
        <v>21</v>
      </c>
      <c r="F93" s="2">
        <v>806</v>
      </c>
      <c r="G93">
        <v>5</v>
      </c>
      <c r="H93" t="s">
        <v>59</v>
      </c>
      <c r="I93" t="s">
        <v>17</v>
      </c>
      <c r="J93" t="s">
        <v>25</v>
      </c>
      <c r="K93">
        <v>40.299999999999997</v>
      </c>
      <c r="L93">
        <v>1</v>
      </c>
    </row>
    <row r="94" spans="1:12">
      <c r="A94" t="s">
        <v>212</v>
      </c>
      <c r="B94" s="1">
        <v>45047</v>
      </c>
      <c r="C94" t="s">
        <v>213</v>
      </c>
      <c r="D94" t="s">
        <v>30</v>
      </c>
      <c r="E94" t="s">
        <v>15</v>
      </c>
      <c r="F94" s="2">
        <v>578</v>
      </c>
      <c r="G94">
        <v>4</v>
      </c>
      <c r="H94" t="s">
        <v>16</v>
      </c>
      <c r="I94" t="s">
        <v>69</v>
      </c>
      <c r="J94" t="s">
        <v>25</v>
      </c>
      <c r="K94">
        <v>28.9</v>
      </c>
      <c r="L94">
        <v>0.75</v>
      </c>
    </row>
    <row r="95" spans="1:12">
      <c r="A95" t="s">
        <v>214</v>
      </c>
      <c r="B95" s="1">
        <v>45047</v>
      </c>
      <c r="C95" t="s">
        <v>215</v>
      </c>
      <c r="D95" t="s">
        <v>14</v>
      </c>
      <c r="E95" t="s">
        <v>21</v>
      </c>
      <c r="F95" s="2">
        <v>769</v>
      </c>
      <c r="G95">
        <v>5</v>
      </c>
      <c r="H95" t="s">
        <v>16</v>
      </c>
      <c r="I95" t="s">
        <v>17</v>
      </c>
      <c r="J95" t="s">
        <v>25</v>
      </c>
      <c r="K95">
        <v>38.450000000000003</v>
      </c>
      <c r="L95">
        <v>1</v>
      </c>
    </row>
    <row r="96" spans="1:12">
      <c r="A96" t="s">
        <v>216</v>
      </c>
      <c r="B96" s="1">
        <v>45083</v>
      </c>
      <c r="C96" t="s">
        <v>217</v>
      </c>
      <c r="D96" t="s">
        <v>33</v>
      </c>
      <c r="E96" t="s">
        <v>15</v>
      </c>
      <c r="F96" s="2">
        <v>734</v>
      </c>
      <c r="G96">
        <v>4</v>
      </c>
      <c r="H96" t="s">
        <v>16</v>
      </c>
      <c r="I96" t="s">
        <v>17</v>
      </c>
      <c r="J96" t="s">
        <v>25</v>
      </c>
      <c r="K96">
        <v>36.700000000000003</v>
      </c>
      <c r="L96">
        <v>0.75</v>
      </c>
    </row>
    <row r="97" spans="1:12">
      <c r="A97" t="s">
        <v>218</v>
      </c>
      <c r="B97" s="1">
        <v>45058</v>
      </c>
      <c r="C97" t="s">
        <v>219</v>
      </c>
      <c r="D97" t="s">
        <v>38</v>
      </c>
      <c r="E97" t="s">
        <v>21</v>
      </c>
      <c r="F97" s="2">
        <v>695</v>
      </c>
      <c r="G97">
        <v>2</v>
      </c>
      <c r="H97" t="s">
        <v>16</v>
      </c>
      <c r="I97" t="s">
        <v>17</v>
      </c>
      <c r="J97" t="s">
        <v>18</v>
      </c>
      <c r="K97">
        <v>0</v>
      </c>
      <c r="L97">
        <v>0.25</v>
      </c>
    </row>
    <row r="98" spans="1:12">
      <c r="A98" t="s">
        <v>220</v>
      </c>
      <c r="B98" s="1">
        <v>45049</v>
      </c>
      <c r="C98" t="s">
        <v>221</v>
      </c>
      <c r="D98" t="s">
        <v>66</v>
      </c>
      <c r="E98" t="s">
        <v>21</v>
      </c>
      <c r="F98" s="2">
        <v>186</v>
      </c>
      <c r="G98">
        <v>4</v>
      </c>
      <c r="H98" t="s">
        <v>16</v>
      </c>
      <c r="I98" t="s">
        <v>17</v>
      </c>
      <c r="J98" t="s">
        <v>25</v>
      </c>
      <c r="K98">
        <v>0</v>
      </c>
      <c r="L98">
        <v>0.75</v>
      </c>
    </row>
    <row r="99" spans="1:12">
      <c r="A99" t="s">
        <v>222</v>
      </c>
      <c r="B99" s="1">
        <v>45098</v>
      </c>
      <c r="C99" t="s">
        <v>223</v>
      </c>
      <c r="D99" t="s">
        <v>44</v>
      </c>
      <c r="E99" t="s">
        <v>21</v>
      </c>
      <c r="F99" s="2">
        <v>249</v>
      </c>
      <c r="G99">
        <v>4</v>
      </c>
      <c r="H99" t="s">
        <v>16</v>
      </c>
      <c r="I99" t="s">
        <v>17</v>
      </c>
      <c r="J99" t="s">
        <v>25</v>
      </c>
      <c r="K99">
        <v>0</v>
      </c>
      <c r="L99">
        <v>0.75</v>
      </c>
    </row>
    <row r="100" spans="1:12">
      <c r="A100" t="s">
        <v>224</v>
      </c>
      <c r="B100" s="1">
        <v>45144</v>
      </c>
      <c r="C100" t="s">
        <v>225</v>
      </c>
      <c r="D100" t="s">
        <v>44</v>
      </c>
      <c r="E100" t="s">
        <v>21</v>
      </c>
      <c r="F100" s="2">
        <v>106</v>
      </c>
      <c r="G100">
        <v>3</v>
      </c>
      <c r="H100" t="s">
        <v>24</v>
      </c>
      <c r="I100" t="s">
        <v>17</v>
      </c>
      <c r="J100" t="s">
        <v>18</v>
      </c>
      <c r="K100">
        <v>0</v>
      </c>
      <c r="L100">
        <v>0.5</v>
      </c>
    </row>
    <row r="101" spans="1:12">
      <c r="A101" t="s">
        <v>226</v>
      </c>
      <c r="B101" s="1">
        <v>45047</v>
      </c>
      <c r="C101" t="s">
        <v>227</v>
      </c>
      <c r="D101" t="s">
        <v>33</v>
      </c>
      <c r="E101" t="s">
        <v>15</v>
      </c>
      <c r="F101" s="2">
        <v>547</v>
      </c>
      <c r="G101">
        <v>2</v>
      </c>
      <c r="H101" t="s">
        <v>16</v>
      </c>
      <c r="I101" t="s">
        <v>17</v>
      </c>
      <c r="J101" t="s">
        <v>18</v>
      </c>
      <c r="K101">
        <v>0</v>
      </c>
      <c r="L101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6FC1-CBD6-4353-AC5C-621CA8AAE653}">
  <dimension ref="A1:C4"/>
  <sheetViews>
    <sheetView workbookViewId="0"/>
  </sheetViews>
  <sheetFormatPr defaultRowHeight="15"/>
  <cols>
    <col min="1" max="1" width="12.85546875" bestFit="1" customWidth="1"/>
    <col min="2" max="2" width="18.7109375" bestFit="1" customWidth="1"/>
    <col min="3" max="3" width="19.140625" bestFit="1" customWidth="1"/>
  </cols>
  <sheetData>
    <row r="1" spans="1:3" ht="15.75">
      <c r="A1" s="3" t="s">
        <v>3</v>
      </c>
      <c r="B1" s="3" t="s">
        <v>228</v>
      </c>
      <c r="C1" s="4" t="s">
        <v>229</v>
      </c>
    </row>
    <row r="2" spans="1:3" ht="15.75">
      <c r="A2" s="4" t="s">
        <v>14</v>
      </c>
      <c r="B2" s="4" t="s">
        <v>230</v>
      </c>
      <c r="C2" s="3" t="s">
        <v>231</v>
      </c>
    </row>
    <row r="3" spans="1:3" ht="15.75">
      <c r="A3" s="4" t="s">
        <v>38</v>
      </c>
      <c r="B3" s="4" t="s">
        <v>232</v>
      </c>
      <c r="C3" s="3" t="s">
        <v>232</v>
      </c>
    </row>
    <row r="4" spans="1:3" ht="15.75">
      <c r="A4" s="4" t="s">
        <v>33</v>
      </c>
      <c r="B4" s="4" t="s">
        <v>233</v>
      </c>
      <c r="C4" s="3" t="s">
        <v>234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E7650BA523984E818C57724C3B0D7A" ma:contentTypeVersion="3" ma:contentTypeDescription="Utwórz nowy dokument." ma:contentTypeScope="" ma:versionID="3798f3305f1863ffff1f6cab99e702e1">
  <xsd:schema xmlns:xsd="http://www.w3.org/2001/XMLSchema" xmlns:xs="http://www.w3.org/2001/XMLSchema" xmlns:p="http://schemas.microsoft.com/office/2006/metadata/properties" xmlns:ns2="4d1b0902-e1dc-480c-853f-f9b5269ca831" targetNamespace="http://schemas.microsoft.com/office/2006/metadata/properties" ma:root="true" ma:fieldsID="6d35ee5cedfa86d7a334e8b5138ab44b" ns2:_="">
    <xsd:import namespace="4d1b0902-e1dc-480c-853f-f9b5269ca8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b0902-e1dc-480c-853f-f9b5269ca8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C79CC0-470A-4CDB-A443-14EA5BD9092C}"/>
</file>

<file path=customXml/itemProps2.xml><?xml version="1.0" encoding="utf-8"?>
<ds:datastoreItem xmlns:ds="http://schemas.openxmlformats.org/officeDocument/2006/customXml" ds:itemID="{4B8708C1-1ED6-40EC-9C8D-6CCCDA401991}"/>
</file>

<file path=customXml/itemProps3.xml><?xml version="1.0" encoding="utf-8"?>
<ds:datastoreItem xmlns:ds="http://schemas.openxmlformats.org/officeDocument/2006/customXml" ds:itemID="{86F098D6-116A-4938-BCC7-6442A5FFCB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Gość</dc:creator>
  <cp:keywords/>
  <dc:description/>
  <cp:lastModifiedBy>Aleksandra Chmist</cp:lastModifiedBy>
  <cp:revision/>
  <dcterms:created xsi:type="dcterms:W3CDTF">2025-11-20T07:06:55Z</dcterms:created>
  <dcterms:modified xsi:type="dcterms:W3CDTF">2025-12-19T10:01:40Z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0x0101001CE7650BA523984E818C57724C3B0D7A</vt:lpwstr>
  </property>
</Properties>
</file>